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 Data 1" sheetId="1" r:id="rId4"/>
  </sheets>
  <definedNames/>
  <calcPr/>
</workbook>
</file>

<file path=xl/sharedStrings.xml><?xml version="1.0" encoding="utf-8"?>
<sst xmlns="http://schemas.openxmlformats.org/spreadsheetml/2006/main" count="1816" uniqueCount="860">
  <si>
    <t>Numbers</t>
  </si>
  <si>
    <t>Reference</t>
  </si>
  <si>
    <t>Drugs Recorded</t>
  </si>
  <si>
    <t>Time Between First and Final Measurements</t>
  </si>
  <si>
    <t>Sample Size</t>
  </si>
  <si>
    <t>Ethnicity/Education/Finance (Age Range, % Female, Ethnicity, Other Demographic) (At Baseline)</t>
  </si>
  <si>
    <t>Author Interpretation</t>
  </si>
  <si>
    <t>Direction Tested</t>
  </si>
  <si>
    <t>Relationship</t>
  </si>
  <si>
    <t>Authors</t>
  </si>
  <si>
    <t>Title</t>
  </si>
  <si>
    <t>Year</t>
  </si>
  <si>
    <t>Which Method?</t>
  </si>
  <si>
    <t>Exploratory or Hypothesis Driven? (With reference to temporal RDU-MH relationships)</t>
  </si>
  <si>
    <t>Hypothesis (if applicable)</t>
  </si>
  <si>
    <t>Hypothesis (Category)</t>
  </si>
  <si>
    <t>Country</t>
  </si>
  <si>
    <t>Search Word(s)</t>
  </si>
  <si>
    <t>Youngest Age</t>
  </si>
  <si>
    <t>Oldest Age</t>
  </si>
  <si>
    <t>% Female</t>
  </si>
  <si>
    <t>Study Cohort</t>
  </si>
  <si>
    <t>Frequency of Drug Use</t>
  </si>
  <si>
    <t>Measure of Drug Use</t>
  </si>
  <si>
    <t>Measure of Mental Health</t>
  </si>
  <si>
    <t>Which MH</t>
  </si>
  <si>
    <t>Depression Relation</t>
  </si>
  <si>
    <t>Anxiety Relation</t>
  </si>
  <si>
    <t>Combined Relation</t>
  </si>
  <si>
    <t>RDU-MH Relationship</t>
  </si>
  <si>
    <t>Statistical method for drawing inference</t>
  </si>
  <si>
    <t>Decade</t>
  </si>
  <si>
    <t>Additional Measurments</t>
  </si>
  <si>
    <t>Study Design</t>
  </si>
  <si>
    <t>Other notes</t>
  </si>
  <si>
    <t>Nkansah-Amankra &amp; Minelli 2016</t>
  </si>
  <si>
    <t>Amphetamines, cannabis, cocaine, ice, LSD, other 'illegal drugs' , MDMA, heroin, PCP, speed</t>
  </si>
  <si>
    <t>13 years</t>
  </si>
  <si>
    <t>N = 20745</t>
  </si>
  <si>
    <t>Age Range: 11-32
% Female: 61.5
Ethnicity: 61% White, 20% Black, 18.3% Hispanic
Other Demographic Information:
Country: USA</t>
  </si>
  <si>
    <t>"Non-smokers in Waves 1 and 2 and reporting high depressive symptoms in Wave 3 had 1.5 times the odds of smoking marijuana in early and young adulthoods but lower risk of using illegal drugs in early adulthood. Current smoking status in both waves and reporting elevated depressive symptoms in Wave 2 increases the odds of using illegal drugs in early adulthood, or smoking marijuana in young adulthood. But those quitting smoking in Wave 2 and reporting high depressive symptoms in Wave 2 had more than 24 times the odds of using illegal drugs in early adulthood"</t>
  </si>
  <si>
    <t>Both directions</t>
  </si>
  <si>
    <t>Bidirectional</t>
  </si>
  <si>
    <t>Nkansah-Amankra S, Minelli M.</t>
  </si>
  <si>
    <t>"Gateway hypothesis" and early drug use: Additional findings from tracking a population-based sample of adolescents to adulthood</t>
  </si>
  <si>
    <t>Systematic</t>
  </si>
  <si>
    <t>Exploratory</t>
  </si>
  <si>
    <t>USA</t>
  </si>
  <si>
    <t>Cocaine</t>
  </si>
  <si>
    <t>61.5%</t>
  </si>
  <si>
    <t>National Longitudinal Study of Adolescent to Adult</t>
  </si>
  <si>
    <t>Use in last month and year</t>
  </si>
  <si>
    <t>Self-reports</t>
  </si>
  <si>
    <t>CES-D</t>
  </si>
  <si>
    <t>Depression</t>
  </si>
  <si>
    <t xml:space="preserve">Age groups 16–18 smoking cigarette in Wave I and reporting high depressive symptoms in Wave 1 were at higher odds for illegal drug use in older adolescence. Non-smokers in Waves 1 and 2 and reporting high depressive symptoms in Wave 3 had 1.5 times the odds of smoking marijuana in early and young adulthoods but lower risk of using illegal drugs in early adulthood. Current smoking status in both waves and reporting elevated depressive symptoms in Wave 2 increases the odds of using illegal drugs in early adulthood. But those quitting smoking in Wave 2 and reporting high depressive symptoms in Wave 2 had more than 24 times the odds of using illegal drugs in early adulthood. </t>
  </si>
  <si>
    <t>Regression analysis</t>
  </si>
  <si>
    <t>2011-2020</t>
  </si>
  <si>
    <t>Longitudinal</t>
  </si>
  <si>
    <t>Wright &amp; Jackson 2023</t>
  </si>
  <si>
    <t>Alcohol, cigarettes, cocaine, downers, cannabis, hallucinogens, inhalants</t>
  </si>
  <si>
    <t>34 years</t>
  </si>
  <si>
    <t>N = 8303</t>
  </si>
  <si>
    <t>Age Range: 10-25
% Female: 49
Ethnicity: 45.5% White 32.4% Black, 22.1% Hispanic
Other Demographic Information:
Country: USA</t>
  </si>
  <si>
    <t xml:space="preserve">"Users of ... inhalants and downers had higher average levels of depression at their time of first reported use relative to two years prior (Figure 8). Users of cocaine, interestingly, had lower average levels of depression (d = −0.18) at their time of first reported use compared to two years prior. </t>
  </si>
  <si>
    <t>Mixed</t>
  </si>
  <si>
    <t>Wright AJ, Jackon JJ.</t>
  </si>
  <si>
    <t>Initiation of drug and alcohol use and personality development during adolescence</t>
  </si>
  <si>
    <t>National Longitudinal Survey of Youth - Child and Young Adult</t>
  </si>
  <si>
    <t>INFO NOT AVAILABLE</t>
  </si>
  <si>
    <t>Mixed - improving mental health with hallucinogens and cocaine but worse with downers</t>
  </si>
  <si>
    <t>2021-2023</t>
  </si>
  <si>
    <t>Other personality traits</t>
  </si>
  <si>
    <t>Hansell &amp; Raskin-White 1991</t>
  </si>
  <si>
    <t>Alcohol, cannabis, 'other' drug use</t>
  </si>
  <si>
    <t>6 years</t>
  </si>
  <si>
    <t>N = 403</t>
  </si>
  <si>
    <t>Age Range: 12
% Female: 51
Ethicity: 90% White
Other Demographic Information: Median family income between $20,000 and $29,000
Country: USA</t>
  </si>
  <si>
    <t>"...the results supported the hypothesis that general drug use contributes to physical and psychological impairments over time. However, such drug-induced psychological distress and physical symptoms only occurred in later adolescence (from ages 15 to 18), and no evidence of impairments due to general drug use or specific alcohol use was found in early adolescence (from ages 12 to 15). However, general drug use did not mediate any longitudinal changes in psychological distress and physical symptoms.'"</t>
  </si>
  <si>
    <t>N1</t>
  </si>
  <si>
    <t>Hansell S, Raskin-White H.</t>
  </si>
  <si>
    <t>Adolescent Drug Use, Psychological Distress, and Physical Symptoms</t>
  </si>
  <si>
    <t>51%</t>
  </si>
  <si>
    <t>No larger study</t>
  </si>
  <si>
    <t>Use in past year</t>
  </si>
  <si>
    <t>Psychological Distress (depression, anxiety and phobic anxiety)</t>
  </si>
  <si>
    <t>Both (combined)</t>
  </si>
  <si>
    <t>Supports general drug use contributes to psychological impairments overtime, and not that drug use is used to cope with pre-existing psychological distress. Drug induced psychological distress only occured in later adolescenes and not early. Wave 2 drug use associated with all 3 distress measures</t>
  </si>
  <si>
    <t>Likelihood ratio chi-square. Two goodness of fit indices</t>
  </si>
  <si>
    <t>1991-2000</t>
  </si>
  <si>
    <t>Physical Symptoms</t>
  </si>
  <si>
    <t>Juon &amp; Ensinger 1997</t>
  </si>
  <si>
    <t>Cannabis, cocaine</t>
  </si>
  <si>
    <t>27 years</t>
  </si>
  <si>
    <t>N = 953</t>
  </si>
  <si>
    <t>Age Range: 6-32
% Female: 52.2
Ethnicity: African American
Other Demographic Information:
Country: USA</t>
  </si>
  <si>
    <t>"The results suggest that social integration, depression, and aggression/drug use are important risk factors for suicidal behaviors in this African American population.'"</t>
  </si>
  <si>
    <t>RDU--&gt;MH</t>
  </si>
  <si>
    <t>Juon HS, Ensminger ME.</t>
  </si>
  <si>
    <t>Childhood, adolescent, and young adult predictors of suicidal behaviors: A prospective study of African Americans</t>
  </si>
  <si>
    <t>52.2%</t>
  </si>
  <si>
    <t>Woodlawn study</t>
  </si>
  <si>
    <t>Adolescent, Adult, Lifetime use</t>
  </si>
  <si>
    <t xml:space="preserve">Self reports on suicidal thoughts and suicide attempts </t>
  </si>
  <si>
    <t>Cocaine use in adulthood related to higher risk of both suicidal behaviours, as with having ever used cocaine. (Unmarreid, unemployed and reporting depression also)</t>
  </si>
  <si>
    <t>Family background, social integration, school bonds</t>
  </si>
  <si>
    <t>Alcohol, cannabis, other illicit drugs, tobacco</t>
  </si>
  <si>
    <t>22 years</t>
  </si>
  <si>
    <t>N = 736</t>
  </si>
  <si>
    <t>Age Range: Mean age 5.57
% Female: 50
Ethnicity: 92% White
Other Demographic Information: 93% had atleast 12th grade education, 38% Married
Country: USA</t>
  </si>
  <si>
    <t>"Our results suggest that early drug use is associated with and predicts later psychiatric disorders [such as MDD]"</t>
  </si>
  <si>
    <t>Brook DW, Brook JS, Zhang C, Cohen P, Whiteman M.</t>
  </si>
  <si>
    <t>Drug use and the risk of major depressive disorder, alcohol dependence, and substance use disorders.</t>
  </si>
  <si>
    <t>Hypothesis driven</t>
  </si>
  <si>
    <t>"Our hypothesis is that earlier drug use is associated with later psychiatric disorders."</t>
  </si>
  <si>
    <t>Mean age 5.57</t>
  </si>
  <si>
    <t>50%</t>
  </si>
  <si>
    <t>Children in the Community Study</t>
  </si>
  <si>
    <r>
      <rPr>
        <rFont val="Arial"/>
        <color rgb="FF000000"/>
      </rPr>
      <t xml:space="preserve">Light </t>
    </r>
    <r>
      <rPr>
        <rFont val="Arial"/>
      </rPr>
      <t>to heavy use</t>
    </r>
  </si>
  <si>
    <t>CIDI</t>
  </si>
  <si>
    <t>Illicit substance use was associated with major depressive disorder</t>
  </si>
  <si>
    <t>2001-2010</t>
  </si>
  <si>
    <t>Alcohol, cannabis, cocaine, 'other' illicit drugs, tobacco</t>
  </si>
  <si>
    <t>12 years</t>
  </si>
  <si>
    <t>N = 487</t>
  </si>
  <si>
    <t>Age Range: 12-15
% Female: 55.2
Ethnicity: 64% White, 24% Spanish/Hispanic
Other Demographic Information: Mean education of 14.4 years, 46% of participants made between $15,000-$30,000 in past year at final follow-up
Country: USA</t>
  </si>
  <si>
    <t>"Teenage Polydrug Use had few effects on adult mental health, whereas increased Polydrug Use exacerbated later Psychoticism, Suicide Ideation, and other indicators of mental distress. Specific drug use in adolescence and changes in these into young adulthood predicted later psychopathology.'"</t>
  </si>
  <si>
    <t>Newcomb MD, Scheier LM, Bentler PM.</t>
  </si>
  <si>
    <t>Effects of Adolescent Drug Use on Adult Mental Health: A Prospective Study of a Community Sample</t>
  </si>
  <si>
    <t>72%</t>
  </si>
  <si>
    <t>1-5 (Never to regularly</t>
  </si>
  <si>
    <t>Depression (4 items from Newcomb et al 1986) in adolescents, and depression and anxiety in adult (CES-D and Hopkins Sympton Checklist)</t>
  </si>
  <si>
    <t>Teenage polydrug use had few effects on adult MH whereas increased polydrug use exacerbated later psychoticism, suicidal ideation and other mental distress indicators. Increased polydrug use exacerabated anxiety. Increased hard drug use had small but significant influences on increasing anxiety.</t>
  </si>
  <si>
    <t>Social conformity, social support</t>
  </si>
  <si>
    <t>36 years</t>
  </si>
  <si>
    <t>N = 1242</t>
  </si>
  <si>
    <t>Age Range: 6-7
% Female: 51.2
Ethnicity: African Americans
Other Demographic Information: Most mothers had over 12 years of education, $3000-$8000 family income per year for most participants
Country: USA</t>
  </si>
  <si>
    <t>"Findings also show that adolescent substance use may set boys on a pathway of long-term psychological distress,thus adding to evidence of negative consequences of frequent use.'"</t>
  </si>
  <si>
    <t>Green KM, Zebrak KA, Robertson JA, Fothergill KE, Ensminger ME.</t>
  </si>
  <si>
    <t>Interrelationship of substance use and psychological distress over the life course among a cohort of urban African Americans</t>
  </si>
  <si>
    <t>51.2%</t>
  </si>
  <si>
    <t>Frequency and recency scales</t>
  </si>
  <si>
    <t>Psychological Distress (Anxiety and depression)</t>
  </si>
  <si>
    <t>Greater adolescent substance use predicts psychological distress in young adulthood for men, but no cross-lag associations for women. Women adolescent SU and PD linked uniquely to their mothers</t>
  </si>
  <si>
    <t>Structural Equation Models (Amos v19.0)</t>
  </si>
  <si>
    <t>Early contexual measures (mothers psychological distress and substance use), alcohol, cannabis</t>
  </si>
  <si>
    <t>Newcomb &amp; Bentler 1986</t>
  </si>
  <si>
    <t>Alcohol, caffeine, cannabis, cigarettes, four kinds of nonprescription medications, hard drugs (e.g., amphetamines, barbiturates, cocaine, LSD, heroin, inhalants, PCP)</t>
  </si>
  <si>
    <t>5 years</t>
  </si>
  <si>
    <t>N = 847</t>
  </si>
  <si>
    <t>Age Range: 7th-9th Grade
% Female: 67
Ethnicity: 64% White, 15% Black, 13% Hispanic, 8% Asian
Other Demographic Information:
Country: USA</t>
  </si>
  <si>
    <t>"Results indicated that over a 1-year period, cocaine use in this more or less normal adolescent sample, generated no
significant increases or decreases in eight measures of emotional distress. On the other
hand, depression was found to be a significant antecedent for increased cocaine use
during this 1-year period. "</t>
  </si>
  <si>
    <t>N2</t>
  </si>
  <si>
    <t>Newcomb MD, Bentler PM.</t>
  </si>
  <si>
    <t>Cocaine use among adolescents: longitudinal associations with social context, psychopathology, and use of other substances</t>
  </si>
  <si>
    <t>7th grade</t>
  </si>
  <si>
    <t>9th grade</t>
  </si>
  <si>
    <t>67%</t>
  </si>
  <si>
    <t>Newcomb 1986 cohort</t>
  </si>
  <si>
    <t>Never tried to regularly scale</t>
  </si>
  <si>
    <t>Eight four-item scales of psychopathology</t>
  </si>
  <si>
    <t>Depression did lead to increased cocaine use over this period of time (1 year period)</t>
  </si>
  <si>
    <t>1981-1990</t>
  </si>
  <si>
    <t>Alcohol, cannabis, cocaine</t>
  </si>
  <si>
    <t>4 years</t>
  </si>
  <si>
    <t>N = 470</t>
  </si>
  <si>
    <t>Age Range: 28-32
% Female: 73
Ethnicity: 67% White, 13% Black, 11% Hispanic, 9% Asian
Other Demographic Information: Mean education of 14.4 years, most participants made over $50,000 in past year
Country: USA</t>
  </si>
  <si>
    <t>"...adults who abused drugs early on experienced later impaired functioning, anxiety, suicidal ideation, psychoticism, hostility, and decreased purpose in life four years later. Providing support for both the self-medication and self-derogation theories, those who experienced aspects of psychological distress (e.g., dysphoria, suicidal ideation) reported drug problems four years later'"</t>
  </si>
  <si>
    <t>Newcomb MD, Vargas-Carmona J, Galaif ER.</t>
  </si>
  <si>
    <t>Drug problems and Psychological Distress among a community sample of adults: Predictors, consequences, or confound?</t>
  </si>
  <si>
    <t>73%</t>
  </si>
  <si>
    <t>Never to more than once scale</t>
  </si>
  <si>
    <t>DSM-IV criteria for drug abuse and dependance</t>
  </si>
  <si>
    <t>Dysphoria (depression) and Agitation (anxiety)</t>
  </si>
  <si>
    <t>Both (individual)</t>
  </si>
  <si>
    <t>Negative self-perception and psychotic experiencess resulted in cocaine problems, whereas anxiety decreased cocaine abuse later on (possibly due to stimulating proerties of cocaine). By contast, early cocaine problems increased later hostility.  Social Conformity reduced or eliminated associations.</t>
  </si>
  <si>
    <t>Structural Equation Models</t>
  </si>
  <si>
    <t>Social conformity</t>
  </si>
  <si>
    <t>MDMA</t>
  </si>
  <si>
    <t>7 days</t>
  </si>
  <si>
    <t>N = 601</t>
  </si>
  <si>
    <t>Age Range: 16-47
% Female: 41
Ethnicity: 62% White, 19% Hispanic
Other Demographic Information: 40% have high school diploma, 53% above poverty threshold
Country: USA</t>
  </si>
  <si>
    <t>"Recent depression was not a significant predictor of ecstasy use in the present study"</t>
  </si>
  <si>
    <t>MH--&gt;RDU</t>
  </si>
  <si>
    <t>No relation</t>
  </si>
  <si>
    <t>Leung KS, Abdallah AB, Cotter LB.</t>
  </si>
  <si>
    <t>Modifiable risk factors of ecstasy use: Risk perception, current dependence, perceived control, and depression.</t>
  </si>
  <si>
    <t>"We hypothesized that a low risk perception, high PBC-obtaining, current ecstasy dependence, and recent depression were all independently associated with an increased risk of ecstasy use."</t>
  </si>
  <si>
    <t>Ecstasy</t>
  </si>
  <si>
    <t>41%</t>
  </si>
  <si>
    <t>TriCity Study</t>
  </si>
  <si>
    <t>Last 40 days</t>
  </si>
  <si>
    <t>Recent depression was not a significant predictor of ecstasy use</t>
  </si>
  <si>
    <t>18 months</t>
  </si>
  <si>
    <t>N = 68 (MDMA users = 38, Controls = 30)</t>
  </si>
  <si>
    <t>Age Range: Users Mean Age - 24.6, Contol Mean Age - 25.4
% Female: 30
Ethnicity:
Other Demographic Information: Most participants had 'highest school-leaving exam qualification'
Country: Germany</t>
  </si>
  <si>
    <t>"The present findings suggest that self-reported psychopathology in ecstasy users is predominantly attributable to concomitant use of cannabis. Abstinence from cannabis and not ecstasy seems to be a reliable predictor for remission of psychological complaints in ecstasy use"</t>
  </si>
  <si>
    <t>Daumann J, Hensen G, Thimm B, Rezk M, Till B, Gouzoulis-Mayfrank E.</t>
  </si>
  <si>
    <t>Self-reported psychopathological symptoms in recreational ecstasy (MDMA) users are mainly associated with regular cannabis use: further evidence from a combined cross-sectional/longitudinal investigation</t>
  </si>
  <si>
    <t>Germany</t>
  </si>
  <si>
    <t>Users - Mean N = 24.6 +-3.97, Controls N = 25.37 +-2.72</t>
  </si>
  <si>
    <t>Users - Mean 24.6 +-3.97, Controls 25.37 +-2.72</t>
  </si>
  <si>
    <t>30%</t>
  </si>
  <si>
    <t>Not measured</t>
  </si>
  <si>
    <t>Drug screens</t>
  </si>
  <si>
    <t>SCL-90-R</t>
  </si>
  <si>
    <t>Ecstasy users more psychological problems than controls at baseline, however mainly associated with cannabis use.  Finally, the use of ecstasy between baseline and follow-up was not associated with any psychopathological symptom.</t>
  </si>
  <si>
    <t>T tests</t>
  </si>
  <si>
    <t>Sensation seeking, impulsivity</t>
  </si>
  <si>
    <t>Longitudinal + Cross-sectional</t>
  </si>
  <si>
    <t>Psilocybin</t>
  </si>
  <si>
    <t>3 months</t>
  </si>
  <si>
    <t>N = 2833</t>
  </si>
  <si>
    <t>Age Range: 18-89
% Female: 46
Ethnicity: 81.4% White
Other Demographic Information: 31.7% of participants had a Bachelors Degree
Country: USA</t>
  </si>
  <si>
    <t>"[After psilocybin use], data collected... showed persisting reductions in anxiety, depression..."</t>
  </si>
  <si>
    <t>P1</t>
  </si>
  <si>
    <t>Nayak SM, Sepeda ND, Mathai DS, So S, Yaffe A, Zaki H, Brasher TJ, Lowe MX, Jolly DRP, Barrett FS, Griffiths RR, Strickland JC, Johnson MW, Jackson H, Garcia-Romeu A.</t>
  </si>
  <si>
    <t>Naturalistic psilocybin use is associated with persisting improvements in mental health and wellbeing: results from a prospective, longitudinal survey.</t>
  </si>
  <si>
    <t>"We hypothesized respondents would exhibit, on average, persisting improvements in mental health, wellbeing, and psychological functioning from before to after psilocybin use, consistent with clinical trial data and cross-sectional  surveys."</t>
  </si>
  <si>
    <t>Hallucinogen</t>
  </si>
  <si>
    <t>46%</t>
  </si>
  <si>
    <t>Modified BDI-II</t>
  </si>
  <si>
    <t>Significantly decreased depression from baseline to both follow-ups</t>
  </si>
  <si>
    <t>Linear mixed models</t>
  </si>
  <si>
    <t>Opioids</t>
  </si>
  <si>
    <t>3 years</t>
  </si>
  <si>
    <t>N = 34653</t>
  </si>
  <si>
    <t>Age Range: Mean 42.4
% Female: 60.14%
Ethnicity: 69.26% White, 12.15% Black
Other Demographic Information: Majority with household income between $35,000-$69,999
Country: USA"</t>
  </si>
  <si>
    <t>"MDD diagnosis and symptoms of major depression at baseline were associated with higher odds of incident NMOU. The baseline NMOU was associated with higher odds of new onset of major depressive symptoms at wave 2 in the sample without baseline symptoms of MDD"</t>
  </si>
  <si>
    <t>Li X, Fu Q, Scherrer JF, Humphrey D, Leigh I.</t>
  </si>
  <si>
    <t>A temporal relationship between nonmedical opioid Use and major depression in the USA: Prospective study from the National Epidemiological Survey on Alcohol and Related Conditions.</t>
  </si>
  <si>
    <t>Heroin/Opiate</t>
  </si>
  <si>
    <t>National Epidemiologic Survey on Alcohol and Related Conditions (NESARC)</t>
  </si>
  <si>
    <t>DSM-IV</t>
  </si>
  <si>
    <t>Baseline depressive symptoms associated with higher odds of NMOU, and baseline NMOU associated with higher oddds of new onset MDD</t>
  </si>
  <si>
    <t>Antidepressants, anxiolytics, beta blockers, opioid analgesics, sedatives/sleeping pills, stimulants</t>
  </si>
  <si>
    <t>15 months</t>
  </si>
  <si>
    <t>N = 4925</t>
  </si>
  <si>
    <t>Age Range: Mean age 19.96
% Female: 0
Ethnicity:
Other Demographic Information: 48.8% completed primary education, 24.49% up secondary
Country: Switzerland</t>
  </si>
  <si>
    <t>"First, no association was found between poor mental health and NMPDU of stimulants. Second, there were 2 unidirectional associations: poor mental health increased NMPDU of opioid analgesics and antidepressants. Third, there were reciprocal associations between any NMPDU, NMPDU of sedatives/sleeping pills and NMPDU of anxiolytics, and poor mental health"</t>
  </si>
  <si>
    <t>N'Goran AA, Deline S, Henchoz Y, Baggio S, Studer J, Mohler-Kuo M, Gmel G.</t>
  </si>
  <si>
    <t>Association between nonmedical prescription drug use and health status among young swiss men.</t>
  </si>
  <si>
    <t>Switzerland</t>
  </si>
  <si>
    <t>Mean 19.96</t>
  </si>
  <si>
    <t>0%</t>
  </si>
  <si>
    <t>Cohort Study on Substance Use (C-SURF)</t>
  </si>
  <si>
    <t>SF-12</t>
  </si>
  <si>
    <t>Poor mental health increased NMPDU of opioid analgesics and antidepressants. reciprocal associations between any NMPDU, NMPDU of sedatives/sleeping pills and NMPDU of anxiolytics, and poor mental health.</t>
  </si>
  <si>
    <t>Regression analysis, Odds ratio</t>
  </si>
  <si>
    <t>Age Range: 18-65+
% Female: 57.9%
Ethnicity: 58.2% White, 19.0% African American, 18.3% Hispanic
Other Demographic Information: 31.5% came from familes with anual income between $35,000-$69,999, 64.7% Employed
Country: USA</t>
  </si>
  <si>
    <t>"Baseline lifetime nonmedical prescription opioid use was associated with incidence of any mood disorder, major depressive disorder (MDD), bipolar disorder, any anxiety disorder, and generalized anxiety disorder... All baseline lifetime mood disorders and GAD were associated with incident nonmedical prescription opioid use at follow-up, adjusted for demographics, comorbid mood/anxiety disorders, and other substance use."</t>
  </si>
  <si>
    <t>Martins SS, Fenton MC, Keyes KM, Blanco C, Zhu H, Storr CL.</t>
  </si>
  <si>
    <t>Mood and anxiety disorders and their association with non-medical prescription opioid use and prescription opioid-use disorder: longitudinal evidence from the National Epidemiologic Study on Alcohol and Related Conditions</t>
  </si>
  <si>
    <t>65+</t>
  </si>
  <si>
    <t>57.9%</t>
  </si>
  <si>
    <t>Yes</t>
  </si>
  <si>
    <t>Self-reports, DSM-IV for abuse and dependence</t>
  </si>
  <si>
    <t>DSM-IV and GAD for MDD, Bipolar and Anxiety</t>
  </si>
  <si>
    <t>Baseline mood disorders and GAD associated with incident non-medical prescription opioid use at follow up. Baseline mood disorders and MDD associated with indicent opioid disorder. All mood disorders and GAD at baseline associated with opioid use at follow up</t>
  </si>
  <si>
    <t>Alcohol Use Disorder, other substance use</t>
  </si>
  <si>
    <t>Cocaine, hallucinogens, inhalants, 'other' drugs, painkillers, sedatives, stimulants, tranquilizers, heroin</t>
  </si>
  <si>
    <t>N = 26935</t>
  </si>
  <si>
    <t>Age Range: 18-65+
% Female: 55.1
Ethnicity: 55.9% White, 19.5% Hispanic
Other Demographic Information: 52.1% of participants graduated college, 25.1% of participants earned between $35,000-$59,999
Country: USA</t>
  </si>
  <si>
    <t>"Illicit drug use is associated with several sociodemographic factors, with all measures of childhood adversity, with having a first-degree relative possessing an alcohol problem or a drug problem, and with all mental disorders, except anxiety disorders."</t>
  </si>
  <si>
    <t>Harrington M, Robinson J, Bolton SL, Sareen J, Bolton JM.</t>
  </si>
  <si>
    <t>A longitudinal study of risk factors for incident drug use in adults: Findings from a representative sample of the US population.</t>
  </si>
  <si>
    <t>&gt;65</t>
  </si>
  <si>
    <t>55.1%</t>
  </si>
  <si>
    <t>AUDADIS-IV</t>
  </si>
  <si>
    <t>With the exception of anxeity, having a baseline mental disorder at Wave 1 predicted incident drug use within 3 years. This relation persisted even after  controlling for sociodemographic factors, childhood adversity, and a family history of drug and alcohol problems</t>
  </si>
  <si>
    <t>Childhood adversity</t>
  </si>
  <si>
    <t>42 months</t>
  </si>
  <si>
    <t>N = 3204</t>
  </si>
  <si>
    <t>Age Range: Mean age 14.57
% Female: 53.3
Ethnicity: 47.8% Hispanic, 17.3% Asian, 16.4% White (Non-Hispanic)
Other Demographic Information:
Country: USA</t>
  </si>
  <si>
    <t>"While 4 of 5 anxiety-related conditions were associated with later nonmedical prescription opioid use without adjustment for co-occurrence with other behavioral health problems, none of the anxiety disorders were associated with opioid use in a multivariable model, adjusting for multiple behavioral health comorbidities. By contrast, positive screens for scoring above clinical threshold of baseline major depression and hypomania/mania were associated with later nonmedical prescription opioid use over and above other behavioral health problems..."</t>
  </si>
  <si>
    <t>Cho J, Kelley-Quon LI, Barrington-Trimis JL, Kechter A, Axeen S, Leventhal AM.</t>
  </si>
  <si>
    <t>Behavioral health risk factors for nonmedical prescription opioid use in adolescence.</t>
  </si>
  <si>
    <t>Mean 14.57</t>
  </si>
  <si>
    <t>53.3%</t>
  </si>
  <si>
    <t>Past 6 month use</t>
  </si>
  <si>
    <t>Revised Children’s Anxiety and Depression Scale</t>
  </si>
  <si>
    <t>Major depression and anxiety lead to increasing drug use</t>
  </si>
  <si>
    <t>N = 10685</t>
  </si>
  <si>
    <t>Age Range: 12-42
% Female: 57.1
Ethnicity: 57.4% White, 18.3% Black, 23.4% Other
Other Demographic Information: 52.9% of participants had atleast a college education, 83.4% employed, 45.6% of participants earned &gt;$74,999
Country: USA</t>
  </si>
  <si>
    <t>"indicators of poor mental health, both in adolescence and adulthood, were more common among those reporting recent prescription opioid use, misuse, or both compared to those reporting neither"</t>
  </si>
  <si>
    <t>Austin AE, Naumann RB, Figgatt MC, Aiello AE.</t>
  </si>
  <si>
    <t>Adolescent and Adult Correlates of Prescription Opioid Use and Misuse in Adulthood: Associations Across Domains of Despair.</t>
  </si>
  <si>
    <t>57.1%</t>
  </si>
  <si>
    <t>National Longitudinal Study of Adolescent Health (Add Health)</t>
  </si>
  <si>
    <t>Use in last 30 days</t>
  </si>
  <si>
    <t>Diagnosis of depression or anxiety</t>
  </si>
  <si>
    <t>Early life correlates indicated that depressive symptoms, anxiety and suicidal ideation or attempts in adolescence were higher among those reporting prescription opioid use, misuse, or both in adulthood compared to those with no recent use or misuse.</t>
  </si>
  <si>
    <t>Chi-squared</t>
  </si>
  <si>
    <t>NMPDU, opioids, sedatives, stimulants</t>
  </si>
  <si>
    <t>1 year</t>
  </si>
  <si>
    <t>N = 3145</t>
  </si>
  <si>
    <t>Age Range: 10-18
% Female: 51.3
Ethnicity: Chinese students
Other Demographic Information: 94% had either 'excellent' or 'good' rated household socioeconomic status, 81.3% lived with parents
Country: China</t>
  </si>
  <si>
    <t>"Nonmedical use of any prescription drug was also associated with subsequent suicidal ideation and suicidal attempts. depressive symptoms significantly partially mediated those significant relationships"</t>
  </si>
  <si>
    <t>Guo L, Xu Y, Deng J, Huang J, Huang G, Gao X, Wu H, Pan S, Zhang W-H, Lu C.</t>
  </si>
  <si>
    <t>Association between nonmedical use of prescription drugs and suicidal behavior among adolescents.</t>
  </si>
  <si>
    <t>China</t>
  </si>
  <si>
    <t>51.3%</t>
  </si>
  <si>
    <t>Drug use leads to suicidality at least in part via depressive symptoms</t>
  </si>
  <si>
    <t>N = 223 (Psychiatric Patients = 183, Healthy Controls = 40)</t>
  </si>
  <si>
    <t>Age Range: 18-30
% Female: 49.1
Ethnicity: 74.% White
Other Demographic Information: HC's showed higher SES tha other group
Country: USA</t>
  </si>
  <si>
    <t>"[Participants with past] suicide attempts were significantly more likely than healthy controls to have used opioids in the past year at baseline. Opioid use was associated with increased anxiety symptoms, PTSD symptoms, and aggression. Opioid use in the month prior to hospitalization predicted SA at 6 months"</t>
  </si>
  <si>
    <t>Marengo L, Douaihy A, Zhong Y, Krancevich K, Brummit B, Sakolsky D, Deal M, Zelazny J, Goodfriend E, Saul M, Murata S, Thoma B, Mansour H, Tew J, Ahmed N, Marsland A, Brent D, Melhem NM.</t>
  </si>
  <si>
    <t>Opioid use as a proximal risk factor for suicidal behavior in young adults</t>
  </si>
  <si>
    <t>49.1%</t>
  </si>
  <si>
    <t>PROmiSe Study</t>
  </si>
  <si>
    <t>Drug Use Screening Inventory-Revised (DUSI-R)</t>
  </si>
  <si>
    <t>GAD7, PHQ9, C-SSRS and medical reports</t>
  </si>
  <si>
    <t>Opioid use in the past month at baseline significantly predicted actual SA at 6 months (when controling for variables)</t>
  </si>
  <si>
    <t>Amphetamines, cocaine, crack, heroin, inhalants, LSD, MDMA,  methamphetamine, nitrite inhalants, oxycodone, other opioids, PCP, psilocybin, sedatives</t>
  </si>
  <si>
    <t>21 years</t>
  </si>
  <si>
    <t>N = 1420</t>
  </si>
  <si>
    <t>Age Range: 9-13
% Female: 44.3
Ethnicity: Majority white, with Native Americans oversampled
Other Demographic Information:
Country: USA</t>
  </si>
  <si>
    <t>"...despair scores were associated with more... illicit drug use"</t>
  </si>
  <si>
    <t>Copeland WE, Gaydosh L, Hill SN, Godwin J, Harris KM, Costello EJ, Shanahan L.</t>
  </si>
  <si>
    <t>Associations of Despair with Suicidality and Substance Misuse among Young Adults.</t>
  </si>
  <si>
    <t>44.3%</t>
  </si>
  <si>
    <t>Great Smoky Mountains Study (GSMS)</t>
  </si>
  <si>
    <t>Child and Adolescent Psychiatric Assessment and the Young Adult Psychiatric Assessment (YAPA)</t>
  </si>
  <si>
    <t>Despair and depressive symptoms longitudinally associated with drug use</t>
  </si>
  <si>
    <t>Alcohol, benzodiazepine, cannabis, cigarette, electronic cigarette, opioids, stimulants</t>
  </si>
  <si>
    <t>N = 2877</t>
  </si>
  <si>
    <t>Age Range: Mean age 14.1
% Female: 55,3
Ethnicity: 47.9% Latinx, 17.6% Asian, 16.6% White (non-Latinx)
Other Demographic Information: 76.7% of participants had atleast one parent who graduated from high school
Country: USA</t>
  </si>
  <si>
    <t>"Logistic regression analyses (in which the CASI subscales were run as simultaneous predictors) revealed that CASI-CC predicted a higher likelihood of [substance use]"</t>
  </si>
  <si>
    <t>Guillot CR, Pang RD, Vilches JR, Arnold ML, Cajas JO, Aleman AM, Leventhal AM.</t>
  </si>
  <si>
    <t>Longitudinal Associations Between Anxiety Sensitivity and Substance Use in Adolescents: Mediation by Depressive Affect.</t>
  </si>
  <si>
    <t>Mean 14.1</t>
  </si>
  <si>
    <t>55.3%</t>
  </si>
  <si>
    <t>Kelley-Quon et al 2019 cohort</t>
  </si>
  <si>
    <t>CASI, CES-D</t>
  </si>
  <si>
    <t>Depression and anxiety associated with higher likelihood of engaging in several forms of substance use</t>
  </si>
  <si>
    <t>Alcohol, cannabis, heroin, opioids, tobacco</t>
  </si>
  <si>
    <t>N = 2880</t>
  </si>
  <si>
    <t>Age Range: Mean age 18.33
% Female: 53.7
Ethnicity: 45.8% Hispanic, 20.5% White, 19.9% Asian
Other Demographic Information: 29.2% of participants mothers had high school education
Country: USA</t>
  </si>
  <si>
    <t>"Greater depression and anxiety symptoms only resulted in greater risk of membership in the High All [Particpants with high use of multiple drugs] class, over time"</t>
  </si>
  <si>
    <t>Davis JP, Tucker JS, Stein BD, D'Amico EJ.</t>
  </si>
  <si>
    <t>Longitudinal effects of adverse childhood experiences on substance use transition patterns during young adulthood</t>
  </si>
  <si>
    <t>Mean 18.33</t>
  </si>
  <si>
    <t>53.7%</t>
  </si>
  <si>
    <t>PHQ-8, GAD-7</t>
  </si>
  <si>
    <t>Depression associated with higher chance of remaining in high substance use class</t>
  </si>
  <si>
    <t>Latent transition analysis</t>
  </si>
  <si>
    <t>N = 2869</t>
  </si>
  <si>
    <t>Age Range: Mean age 14.79
% Female: 49.3
Ethnicity: 87.8% American/Canadian
Other Demographic Information:
Country: USA</t>
  </si>
  <si>
    <t>"Grade 9 AS (anxiety sensitivity) significantly predicted Grade 10 anxiety symptoms which in turn were significantly associated with Grade 10 sedative/tranquilizer misuse"</t>
  </si>
  <si>
    <t>Stewart SH, Chinneck A, Thompson K, Afzali MH, Nogueira-Arjona R, Mahu I.T, Conrod PJ.</t>
  </si>
  <si>
    <t>Personality to Prescription Drug Misuse in Adolescents: Testing Affect Regulation, Psychological Dysregulation, and Deviance Proneness Pathways.</t>
  </si>
  <si>
    <t>"Grade 9 AS would specifically predict Grade 10 sedative/tranquilier misuse via Grade 10 anxiety symptoms"</t>
  </si>
  <si>
    <t>Mean 14.79</t>
  </si>
  <si>
    <t>49.3%</t>
  </si>
  <si>
    <t>Co-Venture Trial</t>
  </si>
  <si>
    <t>Brief Symptom Inventory-18</t>
  </si>
  <si>
    <t>Anxiety</t>
  </si>
  <si>
    <t>Depression associated with increased opioid use; anxiety sensitivity was specifically associated with sedative/tranquilizer misuse via anxiety symptoms.</t>
  </si>
  <si>
    <t>Age Range: 9-13
% Female: 49
Ethnicity: 27% American Indian (Oversampled)
Other Demographic Information: Predominantly from rural counties in North Carolina
Country: America</t>
  </si>
  <si>
    <t>"... childhood tobacco use, depression, and cannabis use were most robustly associated with opioid use in young adulthood (ages 19 to 30 years). Chronic depression and dysthymia were strongly associated with any nonheroin opioid use, and with weekly nonheroin opioid use"</t>
  </si>
  <si>
    <r>
      <rPr>
        <rFont val="Arial"/>
        <color rgb="FF212121"/>
      </rPr>
      <t>Shanahan L, Hill SN, Bechtiger L, Steinhoff A, Godwin J, Gaydosh LM, Harris KM, Dodge KA, Copeland WE.</t>
    </r>
  </si>
  <si>
    <t>Prevalence and Childhood Precursors of Opioid Use in the Early Decades of Life</t>
  </si>
  <si>
    <t>49%</t>
  </si>
  <si>
    <t>National Survey on Drug Use and Health (NSDUH)</t>
  </si>
  <si>
    <t>If used, how frequently</t>
  </si>
  <si>
    <t>Depresson (and childhood tobacco use) associated with later opid use, weekly opiod use and heroin use. Depression, tobacco use, conduct disorders, peers exhibiting social deviance, parents with legal involvement were associated with 2 of 3 opiod outcomes. Early childhood depressive disorder strongly associated with heroin use</t>
  </si>
  <si>
    <t>Regression analysis, odds ratio</t>
  </si>
  <si>
    <t>Sociodemographic risk, family dysfunction, school issues, parental mental illness, early substance use</t>
  </si>
  <si>
    <t>Alcohol, cannabis, opioids</t>
  </si>
  <si>
    <t>2 years</t>
  </si>
  <si>
    <t>N = 41579</t>
  </si>
  <si>
    <t>Age Range: 12-17
% Female: 49.06
Ethnicity: 51.18% White (Non-Hispanic), 23.51% Hispanic, 13.74 Black (Non-Hispanic)
Other Demographic Information: 43.82% of particpants had family income &lt;$49,999, 41.74% with family income of &gt;$74,999
Country: USA</t>
  </si>
  <si>
    <t>"...adolescents who reported past-year MDE were found to have higher odds of POU, NMPOU, and POUD"</t>
  </si>
  <si>
    <t>Carmona J, Maxwell JC, Park J-Y, Wu L-T.</t>
  </si>
  <si>
    <t>Prevalence and Health Characteristics of Prescription Opioid Use, Misuse, and Use Disorders Among U.S. Adolescents.</t>
  </si>
  <si>
    <t>49.06%</t>
  </si>
  <si>
    <t>National Surveys on Drug Use and Health (NSDUH)</t>
  </si>
  <si>
    <t>Major depressive episode associated with POU, NMPOU, and POUD</t>
  </si>
  <si>
    <t>Age Range: Mean age 45.08
% Female: 52.1
Ethnicity: 70.9% White, 11.5% Hispanic, 11% Black
Other Demographic Information: 29% of participants had high school education, 56.3% with some college education
Country: USA</t>
  </si>
  <si>
    <t>"Axis I, II, and III (mental health disorders) at Wave 1 positively predicted incident abuse/dependence at Wave 2"</t>
  </si>
  <si>
    <t>Katz C, El-Gabalawy R, Keyes KM, Martins SS, Sareen J.</t>
  </si>
  <si>
    <t>Risk factors for incident nonmedical prescription opioid use and abuse and dependence: Results from a longitudinal nationally representative sample.</t>
  </si>
  <si>
    <t>Mean 45.08</t>
  </si>
  <si>
    <t>52.1%</t>
  </si>
  <si>
    <t>DSM-IV Axis I and II mental disorders</t>
  </si>
  <si>
    <t>Axis I, II, and III in predicting incident opioid abuse/dependence, as compared to having no disorder</t>
  </si>
  <si>
    <t>Heroin</t>
  </si>
  <si>
    <t>N = 3298</t>
  </si>
  <si>
    <t>Age Range: Mean age 14.6
% Female: 53.9
Ethnicity: 48.3% Hispanic, 17% Asian, 16.4% White (Non-Hispanic)
Other Demographic Information:13.2% of participants had parents without high school diploma
Country: USA</t>
  </si>
  <si>
    <t>Does not directly comment in narrative (however depression and anxiety non-significant predictors in Table 1)</t>
  </si>
  <si>
    <t>Kelley-Quon LI, Cho J, Strong DR, Miech RA, Barrington-Trimis JL, Kechter A, Leventhal AM.</t>
  </si>
  <si>
    <t>Association of Nonmedical Prescription Opioid Use With Subsequent Heroin Use Initiation in Adolescents</t>
  </si>
  <si>
    <t>Mean 14.6</t>
  </si>
  <si>
    <t>53.9%</t>
  </si>
  <si>
    <t>Depressive symptoms/anxiety do not increase likelihood of heroin initiation during the study period</t>
  </si>
  <si>
    <t>24 years</t>
  </si>
  <si>
    <t>N = 206</t>
  </si>
  <si>
    <t>Age Range: 14-15
% Female: 0
Ethnicity: 90% White
Other Demographic Information: 75% from lower or working class families. 33% of families recieved welfare or food stamps in first year of study
Country: USA</t>
  </si>
  <si>
    <t>"Depressive symptoms did not play a major role in future or concurrent misuse of opioids.  In the present study, the men’s depressive symptoms in adulthood were associated with opioid misuse at the between level in the unadjusted model, but not in the adjusted model or at the within level, and furthermore their adolescent depressive symptoms did not predict adult opioid misuse"</t>
  </si>
  <si>
    <t>Capaldi DM, Kerr DCR, Tiberio SS, Owen LD.</t>
  </si>
  <si>
    <t>Men's misuse of prescription opioids from early to middle adulthood: An examination of developmental and concurrent prediction models.</t>
  </si>
  <si>
    <t>"It was hypothesized that...and depressive symptoms would be individually predictive of opioid misuse."</t>
  </si>
  <si>
    <t>Oregan Youth Study</t>
  </si>
  <si>
    <t>Depression did not cause changes in risk of opioid misuse</t>
  </si>
  <si>
    <t>Deliquency / 'deviant' behaviour</t>
  </si>
  <si>
    <t>N = 36171</t>
  </si>
  <si>
    <t>Age Range: 18+
% Female: 51.9
Ethnicity: Majority white with Black and Hispanic individuals oversampled
Other Demographic Information:
Country: USA</t>
  </si>
  <si>
    <t>"Accounting for covariates, W1 marijuana-only use was the only group with significantly higher odds of depression at W2, compared to non-use"</t>
  </si>
  <si>
    <t>Frohe T, Beseler CL, Mendoza AM, Cottler LB, Leeman RF.</t>
  </si>
  <si>
    <t>Perceived Health, Medical, and Psychiatric Conditions in Individual and Dual-Use of Marijuana and Nonprescription Opioids.</t>
  </si>
  <si>
    <t>18+</t>
  </si>
  <si>
    <t>51.9%</t>
  </si>
  <si>
    <t>National Institute on Alcohol Abuse and Alcoholism (NIAAA)</t>
  </si>
  <si>
    <t>Psychiatric diagnoses</t>
  </si>
  <si>
    <t>Depression not associated with increased opioid use</t>
  </si>
  <si>
    <t>Prospective logistic regression models.</t>
  </si>
  <si>
    <t>N = 2975</t>
  </si>
  <si>
    <t>Age Range: 18-34
% Female: 55
Ethnicity: 71.1% White, 16.9% Asian, 11.4% Hispanic
Other Demographic Information: 73.4% had atleast a bachelors degree
Country: USA</t>
  </si>
  <si>
    <t>"[Difference in depression between no opioid users, NMPO users and Heroin users not significant on table]</t>
  </si>
  <si>
    <r>
      <rPr>
        <rFont val="Arial"/>
        <color rgb="FF212121"/>
      </rPr>
      <t>Fuss C, Romm KF, Crawford ND, Harrington KRV, Wang Y, Ma Y, Taggart T, Ruiz MS, Berg CJ.</t>
    </r>
  </si>
  <si>
    <t>Psychosocial Correlates of Opioid Use Profiles among Young Adults in a Longitudinal Study across 6 US Metropolitan Areas</t>
  </si>
  <si>
    <t>Vape shop Advertising, Place characteristics, and Effects Surveillance (VAPES) study</t>
  </si>
  <si>
    <t>Patient Health Questionnaire-2</t>
  </si>
  <si>
    <t>Drug use not associated with depressive symptoms at 1 year</t>
  </si>
  <si>
    <t>Influence of parental substance use</t>
  </si>
  <si>
    <t>Alcohol, Cannabis and 'other' drug use</t>
  </si>
  <si>
    <t>N = 853</t>
  </si>
  <si>
    <t>Age Range: 6
% Female: 0
Ethnicity: White of European ancestry
Other Demographic Information: Low-socioeconomic, urban neighbourhoods, [arents had fewer than 14 years of schooling (mean 10.5 years)
Country: Canada</t>
  </si>
  <si>
    <t>"Higher sensation-seeking and lower anxiety were associated with all [drug] user-groups... Impulsive sensation-seekers with lower anxiety and self-esteem cumulated a larger number and higher severity of risk factors and were at risk of early-onset frequent polysubstance use"</t>
  </si>
  <si>
    <r>
      <rPr>
        <rFont val="Arial"/>
        <color rgb="FF212121"/>
      </rPr>
      <t>Carbonneau R, Vitaro F, Brendgen M, Tremblay RE.</t>
    </r>
  </si>
  <si>
    <t>Alcohol, Marijuana and Other Illicit Drugs Use Throughout Adolescence: Co-occurring Courses and Preadolescent Risk-Factors</t>
  </si>
  <si>
    <t>Canada</t>
  </si>
  <si>
    <t>Illicit Drugs</t>
  </si>
  <si>
    <t>How many times scale</t>
  </si>
  <si>
    <t>SBQ</t>
  </si>
  <si>
    <t>Lower anxiety for all user-groups (expect low alcohol and other illicit drug usiong groups). Most user groups characterized by lower anxiety and lower self-esteem</t>
  </si>
  <si>
    <t>Multivariate General Linear Model</t>
  </si>
  <si>
    <t>Self-esteem, school adjustment, family characteristics</t>
  </si>
  <si>
    <t>Barbiturates, cannabis, cocaine, heroin, inhalants, LSD, other opiates, other psychedelics, tranquilizers</t>
  </si>
  <si>
    <t>5-6 months</t>
  </si>
  <si>
    <t>N = 5468</t>
  </si>
  <si>
    <t>Age Range:
% Female:
Ethnicity:
Other Demographic Information: Adolescents from New York State secondary schools
Country: USA</t>
  </si>
  <si>
    <t>"Beginning use of illicit drugs other than marihuana was positively associated with increased depressive mood, continued multiple drug use was related to reduced depressive mood... in contrast to the results for marihuana, initially depressed users are especially likely to continue using when their depression declines."</t>
  </si>
  <si>
    <t>Paton S, Kessler R, Kandel D.</t>
  </si>
  <si>
    <t>Depressive mood and adolescent illicit drug use: a longitudinal analysis.</t>
  </si>
  <si>
    <t>Illicit drugs</t>
  </si>
  <si>
    <t>Symptom Distress Check List</t>
  </si>
  <si>
    <t>Beginning use of illicit drugs was positively associated with increased depressive mood, continued multiple drug use was related to reduced depressive mood;  Among marihuana users who were depressed at Time 1, those not
Already using other illicit drugs are more likely to start using by Time 2 than those not depressed, and those who were already using other illicit drugs are more likely to continue using these drugs than those not depressed. In fact, as we shall see shortly, in contrast to the results for marihuana, initially depressed users are especially likely to continue using when their depression
declines.</t>
  </si>
  <si>
    <t>1971-1980</t>
  </si>
  <si>
    <t>Amphetamine, cocaine, heroin, LSD, 'other' drugs, MDMA, pain killers, sedatives, sleeping pills</t>
  </si>
  <si>
    <t>18 years</t>
  </si>
  <si>
    <t>N = 6682</t>
  </si>
  <si>
    <t>Age Range: 15-16
% Female: 54.8
Ethnicity:
Other Demographic Information: Majority living in urban areas
Country: Finland</t>
  </si>
  <si>
    <t>"Concerning mood disorder, adolescent illicit drug use modified the outcome in early adulthood.  In males, it may be the associated substance use in adolescence rather than the peer victimization and aggression that is responsible for the increased risk of later mental disorders in adulthood. However, for females, peer victimization was associated with increased risk of later psychosis and mood disorder independent of substance use in adolescence. To our knowledge, this is the first study in which adolescent substance use was considered as a confounding factor when studying peer aggression and victimization inadolescence and mental disorders in adulthood"</t>
  </si>
  <si>
    <t>Sarala M, Miettunen J, Alakokkare AE, Mustonen A, Scott JG, Thomas HJ, Hurtig T, Niemelä S.</t>
  </si>
  <si>
    <t>Substance use confounds associations between peer victimization and aggression in adolescence with mental disorders in adulthood: A prospective birth cohort study</t>
  </si>
  <si>
    <t>Finland</t>
  </si>
  <si>
    <t>Northern Finland Birth Cohort 1986</t>
  </si>
  <si>
    <t>During the last 30 days, scale</t>
  </si>
  <si>
    <t>ICD-10</t>
  </si>
  <si>
    <t>In male victims/perpetrators drug use does increase likelihood of mood disorder but not anxiety disorder. In females relationship between illicit drug use and mental health is not significant</t>
  </si>
  <si>
    <t>Association with peer aggression and victimisation</t>
  </si>
  <si>
    <t>Alcohol, cigarettes, illicit drugs</t>
  </si>
  <si>
    <t>N = 21347</t>
  </si>
  <si>
    <t>Age Range: 18
% Female: 51.6
Ethnicity: 75.% White, 12.3% Black, 5.6% Hispanic
Other Demographic Information: 57.6% had a parent with college or higher education
Country: USA</t>
  </si>
  <si>
    <t>"...heavy substance use is associated with negative physical and/or mental health consequences decades later, in midlife. This is particularly true for Extreme Heavy Users who had among the worst health according to all measures. In other words, heavy substance use is consequential."</t>
  </si>
  <si>
    <r>
      <rPr>
        <rFont val="Arial"/>
        <color rgb="FF212121"/>
      </rPr>
      <t>Patrick ME, Berglund PA, Joshi S, Bray BC.</t>
    </r>
  </si>
  <si>
    <t>A latent class analysis of heavy substance use in Young adulthood and impacts on physical, cognitive, and mental health outcomes in middle age</t>
  </si>
  <si>
    <t>Monitoring the Future</t>
  </si>
  <si>
    <t>Visits to a professional for psychological problems</t>
  </si>
  <si>
    <t>Extreme Heavy Users, Early Young Adult Users, Cigarette Smokers, and All But Cigarette Smokers were more likely to have seen a health professional for psychological problems</t>
  </si>
  <si>
    <t>Latent class analysis and relation to covariates</t>
  </si>
  <si>
    <t>Sociodemographics, Other Drug use, Physical and cognitive health</t>
  </si>
  <si>
    <t>Fagan &amp; Western 2003</t>
  </si>
  <si>
    <t>Cannabis, LSD, MDMA, pills, puffers</t>
  </si>
  <si>
    <t>3-4 years</t>
  </si>
  <si>
    <t>N = 731 (School Cohort = 558, Vulnerable Cohort = 78, Offender Cohort = 95)</t>
  </si>
  <si>
    <t>Age Range: Mean age 15.1
% Female: 51
Ethnicity: 3% Indigenous
Other Demographic Information:  79% had two parent family structure, with 83% having atleast one parent working. 29% of sample was from disadvantaged neighbourhood
Country: Australia</t>
  </si>
  <si>
    <t>"The results suggest that for young women, but not men, offending behaviours (including the use of illicit drugs) lead to increases in self-harm and depression. Conversely, poor mental health, as indicated by having low self-esteem, a poor future outlook, and a belief that life is very confusing, but does not influence subsequent levels of offending for either sex."</t>
  </si>
  <si>
    <t>Fagan AA, Western J.</t>
  </si>
  <si>
    <t>Gender differences in the relationship between offending, self-harm and depression in adolescence and young adulthood</t>
  </si>
  <si>
    <t>Australia</t>
  </si>
  <si>
    <t>Mean age 15.1</t>
  </si>
  <si>
    <t>Sibling Study</t>
  </si>
  <si>
    <t>No</t>
  </si>
  <si>
    <t>DSSI items for depression</t>
  </si>
  <si>
    <t>For young women, but not men, offending behaviours (including the use of illicit drugs) lead to increases in self-harm and depression. Poor mental health did not lead to increased drug use</t>
  </si>
  <si>
    <t>Offending (crimial behaviour)</t>
  </si>
  <si>
    <t>Barbiturates, cannabis, cocaine, LSD, MDMA, opiates, 'other illicit drugs', PCP, psilocybin, stimulants, tranquilizers</t>
  </si>
  <si>
    <t>N = 976</t>
  </si>
  <si>
    <t>Age Range: Grade 10
% Female: 50.6
Ethnicity:
Other Demographic Information: 75.3% living with both parents
Country: Canada</t>
  </si>
  <si>
    <t>"Illicit drug use, with and without accompanying cannabis use, among high school students
increases the risk of depression, suicidal ideation and suicidal attempts"</t>
  </si>
  <si>
    <t>Rasic D, Weerasinghe S, Asbridge M, Langille DB</t>
  </si>
  <si>
    <t>Longitudinal associations of cannabis and illicit drug use with depression, suicidal ideation and suicidal attempts among Nova Scotia high school students</t>
  </si>
  <si>
    <t>Grade 10</t>
  </si>
  <si>
    <t>Past 30 days (scale)</t>
  </si>
  <si>
    <t>CES-D for depression, Suicidal thinking</t>
  </si>
  <si>
    <t>Adolescents who used cannabis, other illicit drugs, or cannabis and illicit drugs were more likely to be at risk of depression compared with those who did not use any drugs or cannabis. Those who used illicit drugs other than cannabis, or cannabis with illicit drugs were more likely to report suicidal ideation and suicide attempts than adolescents who did not use drugs</t>
  </si>
  <si>
    <t>Generalized Estimating Equations (GEE)</t>
  </si>
  <si>
    <t>Living situation, school mark at last report card</t>
  </si>
  <si>
    <t>Cannabis, 'other' illicit drugs</t>
  </si>
  <si>
    <t>N = 1000</t>
  </si>
  <si>
    <t>Age Range: 16-21
% Female: 49.8
Ethnicity:
Other Demographic Information: Children with more socially disadvantaged backgrounds (low parental education, low socioeconimc status, single parent families) underrepresented
Country: New Zealand</t>
  </si>
  <si>
    <t>Young people with anxiety disorders are at increased risk of substance dependence. However, this association appears to be largely or wholly non causal and reflects the associations between childhood factors, prior substance dependence, comorbid depression, peer affiliations and the development of anxiety disorders"</t>
  </si>
  <si>
    <r>
      <rPr>
        <rFont val="Arial"/>
        <color rgb="FF212121"/>
      </rPr>
      <t>Goodwin RD, Fergusson DM, Horwood LJ.</t>
    </r>
  </si>
  <si>
    <t>Association between anxiety disorders and substance use disorders among young persons: results of a 21-year longitudinal study</t>
  </si>
  <si>
    <t>New Zealand</t>
  </si>
  <si>
    <t>49.8%</t>
  </si>
  <si>
    <t>Christchurch Health and Development Study (CHDS)</t>
  </si>
  <si>
    <t>Weekly use</t>
  </si>
  <si>
    <t>CIDI with custom written survey items to asses standardized diagnostic criterea (Anxiety and MDD)</t>
  </si>
  <si>
    <t>Young people with anxiety disorders had odds of substance dependance between 1.3 and 3.9 higher than without. Largely explained by childhood and family factors, prior substances, comorbid depression and peer affiliations. After adjustment anxiety not related to substance dependance</t>
  </si>
  <si>
    <t>General estimating equations to identiy covariates and odds ratios for bivariate associations</t>
  </si>
  <si>
    <t>Childhood sexual and physical abuse, parental violence/disorder history, and drug use, child behaviour problems, past history of dependacnce</t>
  </si>
  <si>
    <t>Amphetamine</t>
  </si>
  <si>
    <t>N = 2373</t>
  </si>
  <si>
    <t>Age Range: 0
% Female: 51
Ethnicity:
Other Demographic Information: Majority of parents completed high school
Country: Australia</t>
  </si>
  <si>
    <t>"Young adult amphetamine users were more likely to have concurrent symptoms of mental illness and problem behaviours and to use or abuse cigarettes, cannabis, or other illicit drugs"</t>
  </si>
  <si>
    <r>
      <rPr>
        <rFont val="Arial"/>
        <color rgb="FF212121"/>
      </rPr>
      <t>Hayatbakhsh MR, Najman JM, Bor W, Williams GM.</t>
    </r>
  </si>
  <si>
    <t>Predictors of young adults' amphetamine use and disorders: A prospective study</t>
  </si>
  <si>
    <t>51.8%</t>
  </si>
  <si>
    <t>Mater University study of pregnancy and its outcomes (MUSP)</t>
  </si>
  <si>
    <t>Past year, month and week frequency</t>
  </si>
  <si>
    <t>YSR for anxiety and depression</t>
  </si>
  <si>
    <t>Young adult amphetamine users were more likely to have concurrent symptoms of mental illniess and problemed behaviours as well as other drug use. More common in males, those who reported agression/delinquecy/smoking at 14 years or experiecned child sexual abuse. Males more likely to report amph use. When unadjusted, more YSR anxiety/depression increased risk of amph use or AUD. Mental health may predict substance use but other factors seem to be more significant</t>
  </si>
  <si>
    <t>Child sex abuse, agression/delinquency, attention problems, maternal SES</t>
  </si>
  <si>
    <t>Cannabis, cocaine, crack, hallucinogens, heroin, 'other' drugs</t>
  </si>
  <si>
    <t>N = 34643</t>
  </si>
  <si>
    <t>Age Range: Mean age 46.3
% Female: 53.4
Ethnicity: 70.6% White
Other Demographic Information: 56.3% attended college
Country: USA</t>
  </si>
  <si>
    <t>"Transitions to asymptomatic use and problem use were strongly associated with other substance use and psychopathology."</t>
  </si>
  <si>
    <t>Compton WM, Dawson DA, Conway KP, Brodsky M, Grant BF.</t>
  </si>
  <si>
    <t>Transitions in Illicit Drug Use Status Over 3 Years: A Prospective Analysis of a General Population Sample</t>
  </si>
  <si>
    <t>Mean age 46.3</t>
  </si>
  <si>
    <t>Last 12 months</t>
  </si>
  <si>
    <t>Self-reports, DSV-IV for abuse and dependence</t>
  </si>
  <si>
    <t>Younger age, not being married and depression were associated with progression from nonuse to drug use. Anxiety and mood disorders associated with progression from nonuse to use (including problematic use).</t>
  </si>
  <si>
    <t>Regression analysis; Chi Squared and ANOVA for bivariate associations</t>
  </si>
  <si>
    <t>Background and health covarites, Alcohol and Tobacco use and disorders</t>
  </si>
  <si>
    <t>Amphetamines, cannabis, cocaine or crack, hallucinogens, heroin</t>
  </si>
  <si>
    <t>N = 521</t>
  </si>
  <si>
    <t>Age Range: Mean 12.0
% Female: 48.3
Ethnicity: 39.5% White (Non-Hispanic), 24.9% Black, 10.1% Hispanic
Other Demographic Information: Mean Hollingshead Household Socioeconomic status score of 39.0
Country: USA</t>
  </si>
  <si>
    <t>"None of the other emotional health predictors nor indicators of social support were significantly associated with earlier illicit substance use."</t>
  </si>
  <si>
    <r>
      <rPr>
        <rFont val="Arial"/>
        <color rgb="FF212121"/>
      </rPr>
      <t>McCarty CA, Rhew IC, Murowchick E, McCauley E, Vander Stoep A.</t>
    </r>
  </si>
  <si>
    <t>Emotional health predictors of substance use initiation during middle school.</t>
  </si>
  <si>
    <t>"We hypothesized that depressive symptoms, conduct problems, and stress would be associated with earlier initiation [of drug use], whereas some components of anxiety (separation anxiety and harm avoidance) and support from parents and teachers would be associated with later initiation [of drug use]."</t>
  </si>
  <si>
    <t>Mean 12.0</t>
  </si>
  <si>
    <t>Developmental Pathways Project</t>
  </si>
  <si>
    <t>Multidimensional Anxiety Scale for Children; MFQ</t>
  </si>
  <si>
    <t>Depressive/anxiety symptoms not themselves associated with illicit substance use</t>
  </si>
  <si>
    <t>Multivariate discrete time survival analysis models</t>
  </si>
  <si>
    <t>Alcohol, amphetamine, cannabis, cocaine, GHB, heroin, ketamine, LSD, MA, MDMA, methadone, tobacco</t>
  </si>
  <si>
    <t>N = 288</t>
  </si>
  <si>
    <t>Age Range: Median age 44
% Female: 24
Ethnicity: 59% White, 28% Aboriginal
Other Demographic Information: 56.5% did not complete high school, 38% had post-secondary school degree
Country: Canada</t>
  </si>
  <si>
    <t>"...absence of an association between the Composite Harm Scrore (CHS) and depression..."</t>
  </si>
  <si>
    <r>
      <rPr>
        <rFont val="Arial"/>
        <color rgb="FF212121"/>
      </rPr>
      <t>Jones AA, Vila-Rodriguez F, Panenka WJ, Leonova O, Strehlau V, Lang DJ, Thornton AE, Wong H, Barr AM, Procyshyn RM, Smith GN, Buchanan T, Krajden M, Krausz M, Montaner JS, Macewan GW, Nutt DJ, Honer WG.</t>
    </r>
  </si>
  <si>
    <t>Personalized Risk Assessment of Drug-Related Harm Is Associated with Health Outcomes</t>
  </si>
  <si>
    <t>"We hypothesized that the CHS (Composite Harm Score - Measure of drug harm) would be associated with
poorer physical, psychological, and social health."</t>
  </si>
  <si>
    <t>Median 44</t>
  </si>
  <si>
    <t>Number of days on drugs</t>
  </si>
  <si>
    <t>BECED</t>
  </si>
  <si>
    <t>Composite Harm Score of drug use not correlated with depression</t>
  </si>
  <si>
    <t>3-5 years</t>
  </si>
  <si>
    <t>N = 2539</t>
  </si>
  <si>
    <t>Age Range: Mean 11.60
% Female: 50.74
Ethnicity: 54.1% Hispanic, 16.8% Asian or Pacific Islander, 15.3% Non-Hispanic White, 10.4% Multiracial/Other, 3.4% Non-Hispanic Black
Other Demographic Information: 47.93% of mothers had college education
Country: USA</t>
  </si>
  <si>
    <t>"NMPDU initiation during middle school is associated with poorer social functioning, such as feeling a lack of peer support or acceptance, but not necessarily with poorer mental health"</t>
  </si>
  <si>
    <t>Tucker JS, Ewing BA, Miles JNV, Shih RA, Pedersen ER, D'Amico EJ.</t>
  </si>
  <si>
    <t>Predictors and consequences of prescription drug misuse during middle school</t>
  </si>
  <si>
    <t>Mean 11.60</t>
  </si>
  <si>
    <t>MHI-5</t>
  </si>
  <si>
    <t>Mental health was not associated with NMPDU initiation</t>
  </si>
  <si>
    <t>Amphetamines, cannabis, cocaine</t>
  </si>
  <si>
    <t>30 years</t>
  </si>
  <si>
    <t>N = 397</t>
  </si>
  <si>
    <t>Age Range: 18-25
% Female: 0
Ethnicity: 97.8% European American or White Hispanic
Other Demographic Information: Parents average income of $13,000 a month
Country: USA</t>
  </si>
  <si>
    <t>"There were no significant differences across subjects with and without IDEs regarding their prevalence of smoking, their use of illicit substances"</t>
  </si>
  <si>
    <t>Schuckit MA, Smith TL, Kalmijn J.</t>
  </si>
  <si>
    <t>Relationships among independent major depressions, alcohol use, and other substance use and related problems over 30 years in 397 families</t>
  </si>
  <si>
    <t>"We hypothesized that a longitudinal study that uses validated interviews with subjects and relatives and focuses on IDEs, not alcohol-induced depressive episodes, would reveal little evidence of a link between IDEs and AUDs."</t>
  </si>
  <si>
    <t>San Diego Prospective Study</t>
  </si>
  <si>
    <t>Past 30 days</t>
  </si>
  <si>
    <t>DSM for major mood and anxiety conditions</t>
  </si>
  <si>
    <t>There were no significant differences across subjects with and without IDEs regarding their prevalence of smoking, their use of illicit substances</t>
  </si>
  <si>
    <t>Alcohol use disorders</t>
  </si>
  <si>
    <t>N = 3118</t>
  </si>
  <si>
    <t>Age Range: 11-12
% Female: 51.7
Ethnicity:
Other Demographic Information:
Country: Finland</t>
  </si>
  <si>
    <t>"Most variables, except depressive symptoms at age of 12, father’s smoking and parental socio-economic status (SES), had statistically significant associations with lifetime use of drugs."</t>
  </si>
  <si>
    <r>
      <rPr>
        <rFont val="Arial"/>
        <color rgb="FF212121"/>
      </rPr>
      <t>Korhonen T, Huizink AC, Dick DM, Pulkkinen L, Rose RJ, Kaprio J.</t>
    </r>
  </si>
  <si>
    <t>Role of individual, peer and family factors in the use of cannabis and other illicit drugs: A longitudinal analysis among Finnish adolescent twins</t>
  </si>
  <si>
    <t>51.7%</t>
  </si>
  <si>
    <t>FinnTwin12-17 study</t>
  </si>
  <si>
    <t xml:space="preserve">Internalizing behaviour (depressive symptoms, social anxiety), MPNI </t>
  </si>
  <si>
    <t>After conditional logistic regression anxiety was no longer a significant predictor of SU, suggesting that correlated within-family factors controbute to these associations. After adjusting, within-family confounds, smoking, drinking, agressiveness and drug use among peers predicted use of illicit drugs</t>
  </si>
  <si>
    <t>Smoking, drinking at baseline, family and peer factors</t>
  </si>
  <si>
    <t>Amphetamine, cannabis, 'intoxicating' drugs</t>
  </si>
  <si>
    <t>10 years</t>
  </si>
  <si>
    <t>N = 2347</t>
  </si>
  <si>
    <t>Age Range: 8
% Female: 0
Ethnicity:
Other Demographic Information: Most children had two bioloigcal parents in family structure, most parents had completed lower secondary school education (with around 1/3 having completed upper secondary school)
Country: Finland</t>
  </si>
  <si>
    <t>"Childhood psychopathology did not predict self-reported drug use at age...Having a psychiatric diagnosis in early adulthood associated with both self-reported use and drug offending."</t>
  </si>
  <si>
    <r>
      <rPr>
        <rFont val="Arial"/>
        <color rgb="FF212121"/>
      </rPr>
      <t>Niemelä S, Sourander A, Elonheimo H, Poikolainen K, Wu P, Helenius H, Piha J, Kumpulainen K, Moilanen I, Tamminen T, Almqvist F.</t>
    </r>
  </si>
  <si>
    <t>What predicts illicit drug use versus police-registered drug offending? Findings from the Finnish From a Boy to a Man'' birth cohort study</t>
  </si>
  <si>
    <t>From a Boy to a Man study (general population)</t>
  </si>
  <si>
    <t>Use in last 6 months scale</t>
  </si>
  <si>
    <t>Self-reports (YASR)</t>
  </si>
  <si>
    <t>CDI and Rutter scales, ICD-10 psychaitric diagnoses (self-reported)</t>
  </si>
  <si>
    <t>Only non-intact family structure at 8 predicted self-report use later. Involvement with illicit drugs correlated strongly with an early psychiatric diagnosis (depression and anxiety disorders most prevalent) (but didnt predict)</t>
  </si>
  <si>
    <t>Family, parental education, hyperactivity, conduct, emotoinal symtom domain</t>
  </si>
  <si>
    <t>N = 2161</t>
  </si>
  <si>
    <t>Age Range: 15-16
% Female: 54.4
Ethnicity: 91.3% Caucasian
Other Demographic Information: From schools in disadvantaged areas in Quebec
Country: Canada</t>
  </si>
  <si>
    <t>"Adolescent use of meth/amphetamine and MDMA (particularly concurrent use) is independently associated with subsequent depressive symptoms"</t>
  </si>
  <si>
    <t>Brière FN, Fallu JS, Janosz M, Pagani LS.</t>
  </si>
  <si>
    <t>Prospective associations between meth/amphetamine (speed) and MDMA (ecstasy) use and depressive symptoms in secondary school students</t>
  </si>
  <si>
    <t>Lifetime, past year, past month use</t>
  </si>
  <si>
    <t>MDMA/Methamphetmaine use at 15/16 significantly increases depression a year later, particularly in concurrent use (1.7 and 1.6x more likely to report elevated depression)</t>
  </si>
  <si>
    <t>Contextual charactreristics</t>
  </si>
  <si>
    <t>Pape &amp; Rossow 2004</t>
  </si>
  <si>
    <t>Amphetamine, cannabis, cocaine, MDMA, psychedelics</t>
  </si>
  <si>
    <t>7 years</t>
  </si>
  <si>
    <t>N = 2761</t>
  </si>
  <si>
    <t>Age Range: 10-17
% Female: 55%
Ethnicity:
Other Demographic Information: 50% University/college students, 28% of parents divorced
Country: Norway</t>
  </si>
  <si>
    <t>"Results showed that ecstasy users, cannabis users, and users of “traditional” hard drugs were all relatively unremarkable with respect to socio-economic characteristics. On the other hand, they all tended to have a less favorable family background than nonusers of drugs, and their rates of past and present legal substance use, mental health problems, and antisocial behavior were also much higher. Individuals who included ecstasy in their drug-taking repertoire had a somewhat more deviant profile than other drug users, indicating that their public image of being ordinary and well adjusted is highly overstated. This image did not fit “pure” cannabis users very well either'"</t>
  </si>
  <si>
    <t>Pape H, Rossow I.</t>
  </si>
  <si>
    <t>Ordinary people with normal lives? A longitudinal study of ecstasy and other drug use among Norwegian youth</t>
  </si>
  <si>
    <t>Norway</t>
  </si>
  <si>
    <t>Young in Norway study</t>
  </si>
  <si>
    <t>Lifetime and past 12 month frequency</t>
  </si>
  <si>
    <t>Hopkins Symptoms Checklist</t>
  </si>
  <si>
    <t>Ecstasy users more likely than cannabis users to suffer anxiety in their past (all drug users reported more mental health issues than non-users). Young adults who used ecstasy had higher levels of early mental health problems compared to cannabis only/no drug users. Drug users had increased past and present MH problems</t>
  </si>
  <si>
    <t>Cross-tabulations and regression analysis</t>
  </si>
  <si>
    <t>Social class, friend drug use, criminality and behavioural deviance</t>
  </si>
  <si>
    <t>14 years</t>
  </si>
  <si>
    <t>N = 1580</t>
  </si>
  <si>
    <t>Age Range: 4-17
% Female: 51.1
Ethnicity:
Other Demographic Information:
Country: Netherlands</t>
  </si>
  <si>
    <t>"Individuals with childhood symptoms of anxiety and depression may have an increased tendency to use MDMA in adolescence or young adulthood. Its effects are supposed to include enhanced feelings of bonding with other people, euphoria, or relaxation. Especially individuals with symptoms of anxiety or depression may be susceptible to these positive effects'"</t>
  </si>
  <si>
    <t>Huizink AC, Ferdinand RF, van der Ende J, Verhulst FC.</t>
  </si>
  <si>
    <t>Symptoms of anxiety and depression in childhood and use of MDMA: prospective, population based study</t>
  </si>
  <si>
    <t>Netherlands</t>
  </si>
  <si>
    <t>Lifetime use</t>
  </si>
  <si>
    <t>CIDI for substance abuse</t>
  </si>
  <si>
    <t>DSM-IV for diagnoses. Child behaviour checklist for childhood emotional and behavioural problems</t>
  </si>
  <si>
    <t>Childhood anxiety and depression significantly related to MDMA use in adolescents and adults</t>
  </si>
  <si>
    <t>Parental occupation</t>
  </si>
  <si>
    <t>N = 1977</t>
  </si>
  <si>
    <t>Age Range: 24-30
% Female: 52.6
Ethnicity:
Other Demographic Information: Majority of participants were employed, 44% copmlted tertiary studies by wave 2
Country: Australia</t>
  </si>
  <si>
    <t>"It would be premature to conclude that ecstasy use is not related to the development of long-term depressive symptoms, given the relatively low level of ecstasy and other drug use in this community sample. Results showed that other factors need to be considered when investigating ecstasy use and depression.'"</t>
  </si>
  <si>
    <r>
      <rPr>
        <rFont val="Arial"/>
        <color rgb="FF212121"/>
      </rPr>
      <t>George AM, Olesen S, Tait RJ.</t>
    </r>
  </si>
  <si>
    <t>Ecstasy use and depression: A 4-year longitudinal study among an Australian general community sample</t>
  </si>
  <si>
    <t>The Personality and Total Health project</t>
  </si>
  <si>
    <t>Past 12 month and current use</t>
  </si>
  <si>
    <t>BPHQ, Goldberg depression scale</t>
  </si>
  <si>
    <t>Ecstasy not associated with long-term depressive symtoms nor odds of depression. Users had more self-reported depressive symptoms compared to non uses, however due to differences in populations</t>
  </si>
  <si>
    <t>Multilevel growth model</t>
  </si>
  <si>
    <t>Psychosocial variables, other drug use</t>
  </si>
  <si>
    <t>de Win et al 2006</t>
  </si>
  <si>
    <t>Mean 17 months</t>
  </si>
  <si>
    <t>N = 120</t>
  </si>
  <si>
    <t>Age Range: 18-35
% Female: 58
Ethnicity:
Other Demographic Information: MDMA naive users with a high probability for future ecstasy use. Average years of education 14.15
Country: Netherlands</t>
  </si>
  <si>
    <t>"These data indicate that depression, impulsivity, and sensation seeking do not predict first time ecstasy use in a population of young adults with the intention to start using ecstasy and that low level ecstasy use does not seem to cause depression or impulsivity. However, low level ecstasy use may increase (certain aspects of) sensation seeking"</t>
  </si>
  <si>
    <r>
      <rPr>
        <rFont val="Arial"/>
        <color rgb="FF212121"/>
      </rPr>
      <t>de Win MM, Schilt T, Reneman L, Vervaeke H, Jager G, Dijkink S, Booij J, van den Brink W.</t>
    </r>
  </si>
  <si>
    <t>Ecstasy use and self-reported depression, impulsivity, and sensation seeking: a prospective cohort study</t>
  </si>
  <si>
    <t>"We hypothesized that higher levels of depression, impulsivity, and sensation seeking are predictors of future ecstasy use in ecstasy-naive young adults (even after controlling
for potential confounders). In addition, we hypothesized that
depression, impulsivity, and sensation seeking increase following a period of ecstasy use (even after controlling for potential con-
founders)."</t>
  </si>
  <si>
    <t>Netherlands XTC Toxicology Study</t>
  </si>
  <si>
    <t>If used</t>
  </si>
  <si>
    <t>BDI</t>
  </si>
  <si>
    <t>Depression does not predict first time ecstasy use (only experience seeking does)</t>
  </si>
  <si>
    <t>Demographic, education and substance use, impulsivity, sensation seeking</t>
  </si>
  <si>
    <t>N = 2143</t>
  </si>
  <si>
    <t>Age Range: 0
% Female: Not Available
Ethnicity:
Other Demographic Information:
Country: Australia</t>
  </si>
  <si>
    <t>"Our study did not support evidence of a relationship between
early signs of anxiety and depression at either 5 or 14 years and increased risk of ecstasy use disorders in early adulthood."</t>
  </si>
  <si>
    <t>Alati R, Kinner SA, Hayatbakhsh MR, Mamun AA, Najman JM, Williams GM.</t>
  </si>
  <si>
    <t>Pathways to ecstasy use in young adults: Anxiety, depression or behavioural deviance?</t>
  </si>
  <si>
    <t>0 at first timepoint (Birth cohort)</t>
  </si>
  <si>
    <t>How many times</t>
  </si>
  <si>
    <t>CBCL, YSR</t>
  </si>
  <si>
    <t>No relation between depression/anxiety in adolescense and SUD</t>
  </si>
  <si>
    <t>Maternal socio-economic position, delusions-symptoms-states inventory, maternal alcohol and tobacco consumption</t>
  </si>
  <si>
    <t>All drugs (exclusing alcohol and cannabis)</t>
  </si>
  <si>
    <t>N = 8866</t>
  </si>
  <si>
    <t>Age Range: 15-21
% Female: 49
Ethnicity: 48% Black or Hispanic
Other Demographic Information: 75% from Urban neighbourhoods
Country: USA</t>
  </si>
  <si>
    <t>"Specifically, it appears that illegal drug use in 2001 had a positive influence on depressive symptoms in 2002, while illegal drug use in 2003 and 2009 had a negative influence on depressive symptoms in 2004 and 2010, respectively. Regarding depressive symptoms, the results appear to suggest that depressive symptoms in 2000 increased illegal drug use in 2001. the results illustrated that illegal drug use, psychological symptoms, and general health in previous years would influence illegal drug use, psychological symptoms, and general health in the future, however, the effects were heterogeneous over the three developmental periods examined"</t>
  </si>
  <si>
    <r>
      <rPr>
        <rFont val="Arial"/>
        <color rgb="FF212121"/>
      </rPr>
      <t>Silver IA, Kelsay JD, Lonergan H.</t>
    </r>
  </si>
  <si>
    <t>Illegal drug use, depressive symptoms, and general health: Exploring co-occurrence across 11 years in a national sample.</t>
  </si>
  <si>
    <t>Psychedelic</t>
  </si>
  <si>
    <t>Illegal drug use, psychological symptoms, and general health in previous years would influence illegal drug use, psychological symptoms, and general health in the future, however, the effects were heterogeneous over the three developmental periods examined.</t>
  </si>
  <si>
    <t>Latent growth models</t>
  </si>
  <si>
    <t>Psychedelic Microdosing</t>
  </si>
  <si>
    <t>3 weeks</t>
  </si>
  <si>
    <t>N = 81</t>
  </si>
  <si>
    <t>Age Range: 18
% Female: 39.5
Ethnicity:
Other Demographic Information: Planning to microdose weekly, Majority from UK &amp; USA. 35.6% had atleast a Bacholors degree or equivalent. 57.3% Full-Time Employed 
Country: UK</t>
  </si>
  <si>
    <t>"Results revealed increased self-reported psychological well-being, emotional stability and reductions in state anxiety and depressive symptoms at the four-week primary endpoint, plus increases in psychological resilience, social connectedness, agreeableness, nature relatedness and aspects of psychological fexibility. However, positive expectancy scores at baseline predicted subsequent improvements in well-being, suggestive of a signifcant placebo response."</t>
  </si>
  <si>
    <r>
      <rPr>
        <rFont val="Arial"/>
        <color rgb="FF212121"/>
      </rPr>
      <t>Kaertner LS, Steinborn MB, Kettner H, Spriggs MJ, Roseman L, Buchborn T, Balaet M, Timmermann C, Erritzoe D, Carhart-Harris RL.</t>
    </r>
  </si>
  <si>
    <t>Positive expectations predict improved mental-health outcomes linked to psychedelic microdosing</t>
  </si>
  <si>
    <t>UK</t>
  </si>
  <si>
    <t>QIDS-SR16, STAI-6</t>
  </si>
  <si>
    <t>Significant decrease in depression and state anxiety however expectation for well-being improved signficantly associated with change scores in depressive symptoms and anxiety</t>
  </si>
  <si>
    <t>Repeated ANOVA for time-dependant changes. Two-tailed t-tests for other variables between baseline and endpoint</t>
  </si>
  <si>
    <t>Expectations</t>
  </si>
  <si>
    <t>Psychedelics</t>
  </si>
  <si>
    <t>4 weeks</t>
  </si>
  <si>
    <t>N = 109</t>
  </si>
  <si>
    <t xml:space="preserve">Age Range: 18
% Female: 27.8
Ethnicity:
Other Demographic Information: Planning to undergo a psychedelic experience, 74.2% had completed undergraduate university degree or higher
Country: UK </t>
  </si>
  <si>
    <t>"Relative to baseline, reductions in depressive symptoms were observed at 2 and 4 weeks"</t>
  </si>
  <si>
    <r>
      <rPr>
        <rFont val="Arial"/>
        <color rgb="FF212121"/>
      </rPr>
      <t>Nygart VA, Pommerencke LM, Haijen E, Kettner H, Kaelen M, Mortensen EL, Nutt DJ, Carhart-Harris RL, Erritzoe D.</t>
    </r>
  </si>
  <si>
    <t>Antidepressant effects of a psychedelic experience in a large prospective naturalistic sample</t>
  </si>
  <si>
    <t xml:space="preserve">UK </t>
  </si>
  <si>
    <t>QIDS, STAI-T</t>
  </si>
  <si>
    <t>Reductions in depressive symptoms observed at 2 and 4 weeks compared to baseline</t>
  </si>
  <si>
    <t>Linear Mixed Modelling</t>
  </si>
  <si>
    <t>Dose</t>
  </si>
  <si>
    <t>N = 53</t>
  </si>
  <si>
    <t>Age Range: 22-64
% Female: 60.4
Ethnicity:
Other Demographic Information: Ayahuasca naive individuals registered for ayahuasca ceremonies 52.8% completed University, 66% Full-time employed
Country: Australia</t>
  </si>
  <si>
    <t>"This study suggests facilitated ayahuasca consumption in naïve participants may precipitate wide-ranging improvements in mental health, relationships, personality structure, and alcohol use"</t>
  </si>
  <si>
    <r>
      <rPr>
        <rFont val="Arial"/>
        <color rgb="FF212121"/>
      </rPr>
      <t>Perkins D, Pagni BA, Sarris J, Barbosa PCR, Chenhall R.</t>
    </r>
  </si>
  <si>
    <t>Changes in mental health, wellbeing and personality following ayahuasca consumption: Results of a naturalistic longitudinal study</t>
  </si>
  <si>
    <t>If used once or more</t>
  </si>
  <si>
    <t>Self-reports (ASSIST)</t>
  </si>
  <si>
    <t>DASS-21, PANAS</t>
  </si>
  <si>
    <t>Significant reductions in depression and anxiety one month after compared to baseline</t>
  </si>
  <si>
    <t>Two-tailed Pearson correlations performed for baseline trait measures and significant symptom change scores</t>
  </si>
  <si>
    <t>Relationships, alcohol use, personality, spirituality</t>
  </si>
  <si>
    <t>Ayuahasca</t>
  </si>
  <si>
    <t>6 months</t>
  </si>
  <si>
    <t>N = 40</t>
  </si>
  <si>
    <t>Age Range: 20-65
% Female: 70
Ethnicity: 95% Spanish
Other Demographic Information: 54% of sample graduated from University, 84% were atheists
Country: Spain/Brazil</t>
  </si>
  <si>
    <t>"After the ayahuasca use, more than 80% of those subjects showed clinical improvements that persisted at 6 months. The questionnaires showed significant reductions in depression and psychopathology."</t>
  </si>
  <si>
    <r>
      <rPr>
        <rFont val="Arial"/>
        <color rgb="FF212121"/>
      </rPr>
      <t>Jiménez-Garrido DF, Gómez-Sousa M, Ona G, Dos Santos RG, Hallak JEC, Alcázar-Córcoles MÁ, Bouso JC.</t>
    </r>
  </si>
  <si>
    <t>Effects of ayahuasca on mental health and quality of life in naive users: A longitudinal and cross-sectional study combination.</t>
  </si>
  <si>
    <t>Spain/Brazil</t>
  </si>
  <si>
    <t>Hamilton Depression Rating Scale; SCL-90-R</t>
  </si>
  <si>
    <t>Reduction in depression at 6 months; anxiety not significant</t>
  </si>
  <si>
    <t>Confidence intervals and effect sizes (Cohen's d)</t>
  </si>
  <si>
    <t>Hostility/Emotional changes</t>
  </si>
  <si>
    <t>N = 358</t>
  </si>
  <si>
    <t>Age Range: 18
% Female: 41
Ethnicity:
Other Demographic Information: Planning to use psychedelics, 55% full time-employed
Country: UK</t>
  </si>
  <si>
    <t>"These results suggest that psychedelics may lead to significant decreases in experiential avoidance, depression severity, and suicidal ideation"</t>
  </si>
  <si>
    <r>
      <rPr>
        <rFont val="Arial"/>
        <color rgb="FF212121"/>
      </rPr>
      <t>Zeifman RJ, Wagner AC, Watts R, Kettner H, Mertens LJ, Carhart-Harris RL.</t>
    </r>
  </si>
  <si>
    <t>Post-Psychedelic Reductions in Experiential Avoidance Are Associated With Decreases in Depression Severity and Suicidal Ideation</t>
  </si>
  <si>
    <t>"We hypothesised that psychedelic use will be associated with decreases in depression severity and suicidal ideation"</t>
  </si>
  <si>
    <t>QIDS</t>
  </si>
  <si>
    <t>Significant decreases in depression severity after psychedelic use</t>
  </si>
  <si>
    <t>Experiential avoidaince, suicidal ideation</t>
  </si>
  <si>
    <t>Psilocybin (Microdosing)</t>
  </si>
  <si>
    <t>N = 1133 (Microdosers = 953, Non-Microdosers = 180)</t>
  </si>
  <si>
    <t>Age Range: 18+
% Female: 29.4
Ethnicity: 85.7% White, 7.8% Latinx
Other Demographic Information: 44.7% had income between $30,000-$90,000, 58.8% had post-secondary education, roughly equal population from urban and suburban communities (41.4% and 40.4% respectively
Country: Online (from Canda)</t>
  </si>
  <si>
    <t>"Our findings of mood and mental health improvements associated with psilocybin microdosing add to previous studies of psychedelic microdosing by using a comparator group and by examining the consistency of efects across age, gender, and mental health."</t>
  </si>
  <si>
    <r>
      <rPr>
        <rFont val="Arial"/>
        <color rgb="FF212121"/>
      </rPr>
      <t>Rootman JM, Kiraga M, Kryskow P, Harvey K, Stamets P, Santos-Brault E, Kuypers KPC, Walsh Z.</t>
    </r>
  </si>
  <si>
    <t>Psilocybin microdosers demonstrate greater observed improvements in mood and mental health at one month relative to non-microdosing controls</t>
  </si>
  <si>
    <t>Online (from Canada)</t>
  </si>
  <si>
    <t>DASS-21 for depression, anxiety and stress</t>
  </si>
  <si>
    <t>Microdosers reported greater improvemnts across the DASS</t>
  </si>
  <si>
    <t>Psychomotor abilty, cognitive and psychomotor tasks</t>
  </si>
  <si>
    <t>N = 64</t>
  </si>
  <si>
    <t xml:space="preserve">Age Range: 18
% Female: 25.2
Ethnicity:
Other Demographic Information: Participants planning on taking psychedelics, 39.1% Students, 36.2% Full-Time employed
Country: UK </t>
  </si>
  <si>
    <t>"...analyses revealed selective increases in Being Well and Staying Well (but not Spirituality) that remained statistically significant up to 2 years post-experience"</t>
  </si>
  <si>
    <r>
      <rPr>
        <rFont val="Arial"/>
        <color rgb="FF212121"/>
      </rPr>
      <t>Mans K, Kettner H, Erritzoe D, Haijen ECHM, Kaelen M, Carhart-Harris RL.</t>
    </r>
  </si>
  <si>
    <t>Sustained, Multifaceted Improvements in Mental Well-Being Following Psychedelic Experiences in a Prospective Opportunity Sample</t>
  </si>
  <si>
    <t>"Our main hypothesis was that psychedelics would have a comprehensive impact on well- being and secondary, exploratory analyses assessed diﬀerential sensitivity to change." Note that elsewhere in the paper they allude that this comprehensive impact will be positive</t>
  </si>
  <si>
    <t>QIDS-SR16, WEMWBS, RSE</t>
  </si>
  <si>
    <t>Psychedelic use led to increases in being well and staying well up to 2 years post-expereince</t>
  </si>
  <si>
    <t>Other psychological measures</t>
  </si>
  <si>
    <t>Needham 2007</t>
  </si>
  <si>
    <t>Cannabis, cocaine, heroin, inhalants, LSD, MDMA, 'other' drugs</t>
  </si>
  <si>
    <t>Around 6 years</t>
  </si>
  <si>
    <t>N = 10828</t>
  </si>
  <si>
    <t>Age Range: 12-18
% Female: 51
Ethnicity: 50% White, 23% Black, 17% Latinx
Other Demographic Information: 57% of participant parients graduated high school, 44% had a degree beyond high school, 44% had non-intact family structure
Country: USA</t>
  </si>
  <si>
    <t>"Adolescents who are initially more depressed begin the study period with substantially higher levels of substance use than their better-adjusted peers, yet they are less vulnerable to increases in smoking (girls only), binge drinking (girls and boys), and illicit drug use (girls only) across the transition to young adulthood. Also, adolescents who start out with higher than average cigarette, alcohol, and illicit drug use experience a faster rate of decline in symptoms of depression over time compared to those who start out with lower levels of substance use. This association appears to be more pronounced for girls than for boys."</t>
  </si>
  <si>
    <r>
      <rPr>
        <rFont val="Arial"/>
        <color rgb="FF212121"/>
      </rPr>
      <t>Needham BL.</t>
    </r>
  </si>
  <si>
    <t>Gender differences in trajectories of depressive symptomatology and substance use during the transition from adolescence to young adulthood</t>
  </si>
  <si>
    <t>Non-systematic</t>
  </si>
  <si>
    <t>N/A</t>
  </si>
  <si>
    <t>Greater initial syptoms of depression are associated with smaller increases in the odds of drug use progression in girls only, while high initial rates of drug use are associated with a faster rate of decline in depressive symptoms for boys and girls</t>
  </si>
  <si>
    <t>Latent growth curve analysis</t>
  </si>
  <si>
    <t>Smoking, binge drinking</t>
  </si>
  <si>
    <t>Cannabis, MDMA,  opioids, 'other' drugs</t>
  </si>
  <si>
    <t>N = 2462</t>
  </si>
  <si>
    <t>Age Range: 14-24
% Female:
Ethnicity:
Other Demographic Information: Residents in metropolitan Munich, 35% at University at baseline, 64% living with parents
Country: Germany</t>
  </si>
  <si>
    <t>"Ecstasy users had significantly higher rates for almost all DSM-IV mental disorders examined when compared with non-users". "Analyses of temporal patterns of ecstasy use and disorder onset revealed that the first use of ecstasy was secondary to the onset of DSM-IV mental disorders in the majority of cases. Still, subjects with mental disorders at baseline also showed a significantly increased risk for initiation of ecstasy use during the 4-year follow-up period."</t>
  </si>
  <si>
    <r>
      <rPr>
        <rFont val="Arial"/>
        <color rgb="FF212121"/>
      </rPr>
      <t>Lieb R, Schuetz CG, Pfister H, von Sydow K, Wittchen H.</t>
    </r>
  </si>
  <si>
    <t>Mental disorders in ecstasy users: a prospective-longitudinal investigation</t>
  </si>
  <si>
    <t>Early Developmental Stages of Psychopathology (EPSD)</t>
  </si>
  <si>
    <t>Use and frequency</t>
  </si>
  <si>
    <t>Face-to-face M-CIDI, DSM-IV criteria for abuse or dependance</t>
  </si>
  <si>
    <t>M-CIDI</t>
  </si>
  <si>
    <t>Ecstasy users had significantly higher rates for almost all DSM-IV mental disorders (including anxiety disorders) compared to non users and users of other illicit drugs, however first use of ecstasy was secondary to onset of DSM-IV mental disorders in majority of cases. Additionally subjects with mental disorder at baseline significantly increased risk for initiation of ecstasy use in 4 year follow up.         DSM-IV disorders that precede were mainly phobias, and anxiety disorders and major depression were commonly seen as results of ecstasy use, as oposed to visa versa.   Subjects with existing anxiety and depressive disorders are at high risk for ecstasy use</t>
  </si>
  <si>
    <t>Odds ratios</t>
  </si>
  <si>
    <t>Medical Complications</t>
  </si>
  <si>
    <t>Alcohol, amphetamines, cannabis, cocaine, heroin, MDMA, NMPO, psychedelics, sedatives</t>
  </si>
  <si>
    <t>Around 14 years</t>
  </si>
  <si>
    <t>N = 912</t>
  </si>
  <si>
    <t>Age Range: 6-8
% Female: 47
Ethnicity: 82% White
Other Demographic Information: 30% recieved free/reduced-price lunches in first two years of study
Country: USA</t>
  </si>
  <si>
    <t>"NMPO use predicted ...mood disorder[s]..."</t>
  </si>
  <si>
    <r>
      <rPr>
        <rFont val="Arial"/>
        <color rgb="FF212121"/>
      </rPr>
      <t>Catalano RF, White HR, Fleming CB, Haggerty KP.</t>
    </r>
  </si>
  <si>
    <t>Is nonmedical prescription opiate use a unique form of illicit drug use?</t>
  </si>
  <si>
    <t>Raising Healthy Children Study</t>
  </si>
  <si>
    <t>Self-reports, CIDI for abuse or dependance</t>
  </si>
  <si>
    <t>CIDI for MDD, GAD for anxiety/PTSD</t>
  </si>
  <si>
    <t>Other drug use predicted mood disorders and anxiety disorders. When NMPO added to model, NMPO predicted mood disoder</t>
  </si>
  <si>
    <t>Employment, general health, alcohol, cannabis, tobacco</t>
  </si>
  <si>
    <t>Amphetamines, barbiturates, cocaine, heroin, LSD, quaaludes</t>
  </si>
  <si>
    <t>9 years</t>
  </si>
  <si>
    <t>N = 698</t>
  </si>
  <si>
    <t>Age Range: 1-10
% Female:
Ethnicity: 91.0% White
Other Demographic Information: 66.0% from intact families, 53.9% Catholic, 48.0% had familiy income between $18,000 and $29,999, 76.0% from Urban or Suburban residences
Country: USA</t>
  </si>
  <si>
    <t>"A significant relationship was found to exist between earlier adolescent drug use and later depressive and disruptive disorders in young adulthood , controlling for earlier psychiatric disorders. Earlier psychiatric disorders did not predict changes in young adult drug use. ...illicit drug use levels predicted young adult antisocial, major depressive, andanxiety disorders"</t>
  </si>
  <si>
    <t>Brook JS, Cohen P, Brook DW.</t>
  </si>
  <si>
    <t>Longitudinal Study of Co-occurring Psychiatric Disorders and Substance Use</t>
  </si>
  <si>
    <t>Self reports (CIDI for dependance and disorders)</t>
  </si>
  <si>
    <t>DISC-1 for MDD and axniety diagnoses</t>
  </si>
  <si>
    <t>Significant relationship between earlier drug use and later depressive disorders in young adulthood. Earlier psychiatric disorders did not predict changes in young adult drug use. Adolescent tobacco and illicit drug use predicted young adult MDD and anxiety disorders</t>
  </si>
  <si>
    <t>Other psychiatric disorders, Alcohol and cannabis use</t>
  </si>
  <si>
    <t>Schepis &amp; Hakes 2011</t>
  </si>
  <si>
    <t>Opioids, sedatives, stimulants, tranquilizers</t>
  </si>
  <si>
    <t>Age Range: 18-65+
% Female: 57.9
Ethnicity: 74.3% Caucasian
Other Demographic Information:
Country: USA</t>
  </si>
  <si>
    <t>"Non-medical use of prescription medications is a consistent risk factor for the onset and recurrence of psychopathology"</t>
  </si>
  <si>
    <r>
      <rPr>
        <rFont val="Arial"/>
        <color rgb="FF212121"/>
      </rPr>
      <t>Schepis TS, Hakes JK.</t>
    </r>
  </si>
  <si>
    <t>Non-medical prescription use increases the risk for the onset and recurrence of psychopathology: results from the National Epidemiological Survey on Alcohol and Related Conditions</t>
  </si>
  <si>
    <t>"We hypothesized that a history of NUPM at wave 1 would increase the risk during the follow-up for the onset of psychopathology among those with no history of psychopathology" and "we hypothesized that  NUPM would increase the risk for recurrence of the origi- nal disorder and onset of new psychopathology among  those with a psychopathology history."</t>
  </si>
  <si>
    <t>NIAAA</t>
  </si>
  <si>
    <t xml:space="preserve">Among those with no history of psychopathology, lifetime and past year NUPM increased risk for depressive disorders, bipolar disorders and anxiety disorders (all besdies stimulants) </t>
  </si>
  <si>
    <t>Other psychiatric disorders, marital status, other demographics</t>
  </si>
  <si>
    <t>Amphetamines, cannabis, cocaine, crack, glue, heroin, khat, LSD, MDMA</t>
  </si>
  <si>
    <t>N = 1615</t>
  </si>
  <si>
    <t>Age Range: 11-14
% Female:
Ethnicity:
Other Demographic Information: Representative sample of adolescents in schools in East London
Country: England</t>
  </si>
  <si>
    <t>"Having tried drugs or engaged in two or more health-risk behaviours (smoking, alcohol use or drug use) at baseline predicted psychological distress and depressive symptoms at follow-up."</t>
  </si>
  <si>
    <r>
      <rPr>
        <rFont val="Arial"/>
        <color rgb="FF212121"/>
      </rPr>
      <t>Clark C, Haines MM, Head J, Klineberg E, Arephin M, Viner R, Taylor SJ, Booy R, Bhui K, Stansfeld SA.</t>
    </r>
  </si>
  <si>
    <t>Psychological symptoms and physical health and health behaviours in adolescents: a prospective 2-year study in East London</t>
  </si>
  <si>
    <t>"It was hypothesized that engaging in health-risk behaviours (smoking, alcohol use, drug use or the co-occurrence of these behaviours), general health, being overweight or obese, being physically inactive and long-standing illness would increase the risk of later psychological distress and depressive symptoms."</t>
  </si>
  <si>
    <t>RELACHS Study (Research with East London Adolescents: Community Health Survey)</t>
  </si>
  <si>
    <t>SQD, SMFQ</t>
  </si>
  <si>
    <t>Having tried drugs predicted psychological distress and depressive symptoms over a 2-year period (strongest association)</t>
  </si>
  <si>
    <t>Physical health and health-risk behaviours, demographic information</t>
  </si>
  <si>
    <t>Amphetamine, cocaine, crack, heroin, inhalants, LSD, opioids, PCP, psilocybin, sedatives, steroids, 'other' substances</t>
  </si>
  <si>
    <t>Age Range: 9-13
% Female:
Ethnicity: 24.6% American Indian, Fewer than 10% African American, Fewer than 1% Hispanic, others Caucasian
Other Demographic Information: American Indians and youths with behavioural problems oversampled
Country: USA</t>
  </si>
  <si>
    <t>".Depression was also strongly associated with substance use and abuse. Depressed boys had significantly higher rates of every type of substance use than nondepressed boys. For girls, rates were higher, but the difference was not statistically ignificant except for any substance use. Anxiety disorders were not associated with higher rates of any type of substance use or abuse in either boys or girls, controlling for psychiatric comorbidity."</t>
  </si>
  <si>
    <r>
      <rPr>
        <rFont val="Arial"/>
        <color rgb="FF212121"/>
      </rPr>
      <t>Costello EJ, Erkanli A, Federman E, Angold A.</t>
    </r>
  </si>
  <si>
    <t>Development of Psychiatric Comorbidity With Substance Abuse in Adolescents: Effects of Timing and Sex</t>
  </si>
  <si>
    <t>If used certain amount</t>
  </si>
  <si>
    <t>Child and Adolescent Psychiatric Assesment (CAPA)</t>
  </si>
  <si>
    <t>CAPA</t>
  </si>
  <si>
    <t>Depression associated with a higher rate and ealrier onset of substance use and abuse in both sexes. Depressed boys had significanly higher rates of every type of substance use than nondepressed boys. showed no association between anxiety disorders or ADHD and the likelihood of sub-
stance use or abuse.</t>
  </si>
  <si>
    <t>Estimating equation models used to generate confidence intervals, p values for associations between baseline and endpoint substance use and psychiatric disorders</t>
  </si>
  <si>
    <t>Behavioural Disorders, Alcohol, Tobacco and Cannabis, Family Risk Factors (family psychiatric history,  maternal depression, parental style, family environment and traumatic life events)</t>
  </si>
  <si>
    <t>Hard drugs</t>
  </si>
  <si>
    <t>N = 3794</t>
  </si>
  <si>
    <t>Age Range: Mean 14
% Female: 49
Ethnicity: 92.4% Born in Canada, Majority Canadian, 31% Italian, 18% French
Other Demographic Information: 25% of parents University graduates
Country: Canada</t>
  </si>
  <si>
    <t>"Adolescents who had higher depressive symptoms in grade nine reported faster increases than their peers in smoking, marijuana, and hard drug use across the high school years"</t>
  </si>
  <si>
    <r>
      <rPr>
        <rFont val="Arial"/>
        <color rgb="FF212121"/>
      </rPr>
      <t>Hooshmand S, Willoughby T, Good M.</t>
    </r>
  </si>
  <si>
    <t>Does the direction of effects in the association between depressive symptoms and health-risk behaviors differ by behavior? A longitudinal study across the high school years</t>
  </si>
  <si>
    <t>Mean 14</t>
  </si>
  <si>
    <t>Self-reports (survey)</t>
  </si>
  <si>
    <t>Adolescents who had higher depressive symptoms in grade 9 reported faster increases than their peers in hard drug use.</t>
  </si>
  <si>
    <t>Univariate growth models</t>
  </si>
  <si>
    <t>Alcohol, Tobacco and cannabis use, Delinquency</t>
  </si>
  <si>
    <t>11 years</t>
  </si>
  <si>
    <t>N = 1520</t>
  </si>
  <si>
    <t>Age Range: 14-15
% Female: 51.4
Ethnicity:
Other Demographic Information: Adolescents from goverment, Catholic and indepednat schools in Victoria, Australia
Country: Australia</t>
  </si>
  <si>
    <t>"Young people in Australia who begin amphetamine use by age 17 years are at increased risk for a range of mental health, substance use and psychosocial problems in young adulthood. However, these problems are largely accounted for by their even earlier-onset cannabis use"</t>
  </si>
  <si>
    <t>Degenhardt L, Coffey C, Moran P, Carlin JB, Patton GC.</t>
  </si>
  <si>
    <t>The predictors and consequences of adolescent amphetamine use: findings from the Victoria Adolescent Health Cohort Study</t>
  </si>
  <si>
    <t>CIS-R, GHQ-12</t>
  </si>
  <si>
    <t>Incidence of amphetamine use during teenage years predcited by heavier drug use and mental health problems. By 24/25 adolescent amphetamine users more likely to have greater psychological morbidity, however most of these associations not sustained after adjustment for early onset cannabis. Symtpoms of depression and anxiety still significant even after factoring in cannabis</t>
  </si>
  <si>
    <t>Other drug consupmtion, antisocial behaviour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</si>
</sst>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9">
    <font>
      <sz val="10.0"/>
      <color rgb="FF000000"/>
      <name val="Arial"/>
      <scheme val="minor"/>
    </font>
    <font>
      <b/>
      <color theme="1"/>
      <name val="Arial"/>
    </font>
    <font>
      <color theme="1"/>
      <name val="Arial"/>
    </font>
    <font>
      <color rgb="FF333333"/>
      <name val="Arial"/>
    </font>
    <font>
      <u/>
      <color rgb="FF0000FF"/>
      <name val="Arial"/>
    </font>
    <font>
      <color rgb="FF1F1F1F"/>
      <name val="Arial"/>
    </font>
    <font>
      <u/>
      <color rgb="FF0000FF"/>
      <name val="Arial"/>
    </font>
    <font>
      <color rgb="FF21212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2" numFmtId="4" xfId="0" applyAlignment="1" applyFont="1" applyNumberFormat="1">
      <alignment vertical="bottom"/>
    </xf>
    <xf borderId="0" fillId="2" fontId="2" numFmtId="0" xfId="0" applyAlignment="1" applyFill="1" applyFont="1">
      <alignment vertical="bottom"/>
    </xf>
    <xf borderId="0" fillId="0" fontId="2" numFmtId="10" xfId="0" applyAlignment="1" applyFont="1" applyNumberFormat="1">
      <alignment vertical="bottom"/>
    </xf>
    <xf borderId="0" fillId="0" fontId="2" numFmtId="0" xfId="0" applyAlignment="1" applyFont="1">
      <alignment vertical="bottom"/>
    </xf>
    <xf borderId="0" fillId="2" fontId="2" numFmtId="0" xfId="0" applyAlignment="1" applyFont="1">
      <alignment vertical="bottom"/>
    </xf>
    <xf borderId="0" fillId="0" fontId="3" numFmtId="0" xfId="0" applyAlignment="1" applyFont="1">
      <alignment vertical="bottom"/>
    </xf>
    <xf borderId="0" fillId="0" fontId="2" numFmtId="0" xfId="0" applyAlignment="1" applyFont="1">
      <alignment vertical="top"/>
    </xf>
    <xf borderId="0" fillId="0" fontId="3" numFmtId="3" xfId="0" applyAlignment="1" applyFont="1" applyNumberFormat="1">
      <alignment vertical="bottom"/>
    </xf>
    <xf borderId="0" fillId="0" fontId="2" numFmtId="9" xfId="0" applyAlignment="1" applyFont="1" applyNumberFormat="1">
      <alignment vertical="bottom"/>
    </xf>
    <xf borderId="0" fillId="2" fontId="2" numFmtId="0" xfId="0" applyAlignment="1" applyFont="1">
      <alignment vertical="top"/>
    </xf>
    <xf borderId="0" fillId="2" fontId="2" numFmtId="9" xfId="0" applyAlignment="1" applyFont="1" applyNumberFormat="1">
      <alignment vertical="bottom"/>
    </xf>
    <xf borderId="0" fillId="2" fontId="4" numFmtId="0" xfId="0" applyAlignment="1" applyFont="1">
      <alignment vertical="top"/>
    </xf>
    <xf borderId="0" fillId="2" fontId="2" numFmtId="0" xfId="0" applyAlignment="1" applyFont="1">
      <alignment vertical="top"/>
    </xf>
    <xf borderId="0" fillId="0" fontId="2" numFmtId="0" xfId="0" applyAlignment="1" applyFont="1">
      <alignment vertical="top"/>
    </xf>
    <xf borderId="0" fillId="2" fontId="5" numFmtId="0" xfId="0" applyAlignment="1" applyFont="1">
      <alignment vertical="bottom"/>
    </xf>
    <xf borderId="0" fillId="0" fontId="6" numFmtId="0" xfId="0" applyAlignment="1" applyFont="1">
      <alignment vertical="top"/>
    </xf>
    <xf borderId="0" fillId="2" fontId="2" numFmtId="10" xfId="0" applyAlignment="1" applyFont="1" applyNumberFormat="1">
      <alignment vertical="top"/>
    </xf>
    <xf borderId="0" fillId="0" fontId="7" numFmtId="0" xfId="0" applyAlignment="1" applyFont="1">
      <alignment vertical="bottom"/>
    </xf>
    <xf borderId="0" fillId="0" fontId="2" numFmtId="3" xfId="0" applyAlignment="1" applyFont="1" applyNumberFormat="1">
      <alignment vertical="bottom"/>
    </xf>
    <xf quotePrefix="1" borderId="0" fillId="0" fontId="2" numFmtId="0" xfId="0" applyAlignment="1" applyFont="1">
      <alignment vertical="bottom"/>
    </xf>
    <xf borderId="0" fillId="2" fontId="2" numFmtId="10" xfId="0" applyAlignment="1" applyFont="1" applyNumberFormat="1">
      <alignment vertical="bottom"/>
    </xf>
    <xf borderId="0" fillId="2" fontId="2" numFmtId="164" xfId="0" applyAlignment="1" applyFont="1" applyNumberFormat="1">
      <alignment vertical="bottom"/>
    </xf>
    <xf borderId="0" fillId="0" fontId="8" numFmtId="0" xfId="0" applyAlignment="1" applyFont="1">
      <alignment readingOrder="0" shrinkToFit="0" wrapText="0"/>
    </xf>
    <xf borderId="0" fillId="0" fontId="8" numFmtId="9" xfId="0" applyAlignment="1" applyFont="1" applyNumberFormat="1">
      <alignment readingOrder="0" shrinkToFit="0" wrapText="0"/>
    </xf>
    <xf borderId="0" fillId="0" fontId="8" numFmtId="0" xfId="0" applyAlignment="1" applyFont="1">
      <alignment shrinkToFit="0" wrapText="0"/>
    </xf>
    <xf borderId="0" fillId="0" fontId="8" numFmtId="10" xfId="0" applyAlignment="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pmc/articles/PMC3262933/" TargetMode="External"/><Relationship Id="rId2" Type="http://schemas.openxmlformats.org/officeDocument/2006/relationships/hyperlink" Target="https://www.ncbi.nlm.nih.gov/pmc/articles/PMC4832594/" TargetMode="External"/><Relationship Id="rId3" Type="http://schemas.openxmlformats.org/officeDocument/2006/relationships/hyperlink" Target="https://jamanetwork.com/journals/jamapediatrics/fullarticle/2543282"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6" max="6" width="18.75"/>
  </cols>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2" t="s">
        <v>33</v>
      </c>
      <c r="AI1" s="2" t="s">
        <v>34</v>
      </c>
    </row>
    <row r="2" ht="18.0" customHeight="1">
      <c r="A2" s="3">
        <v>1.0</v>
      </c>
      <c r="B2" s="3" t="s">
        <v>35</v>
      </c>
      <c r="C2" s="3" t="s">
        <v>36</v>
      </c>
      <c r="D2" s="3" t="s">
        <v>37</v>
      </c>
      <c r="E2" s="3" t="s">
        <v>38</v>
      </c>
      <c r="F2" s="3" t="s">
        <v>39</v>
      </c>
      <c r="G2" s="4" t="s">
        <v>40</v>
      </c>
      <c r="H2" s="3" t="s">
        <v>41</v>
      </c>
      <c r="I2" s="3" t="s">
        <v>42</v>
      </c>
      <c r="J2" s="3" t="s">
        <v>43</v>
      </c>
      <c r="K2" s="5" t="s">
        <v>44</v>
      </c>
      <c r="L2" s="3">
        <v>2016.0</v>
      </c>
      <c r="M2" s="3" t="s">
        <v>45</v>
      </c>
      <c r="N2" s="3" t="s">
        <v>46</v>
      </c>
      <c r="O2" s="3"/>
      <c r="P2" s="3"/>
      <c r="Q2" s="6" t="s">
        <v>47</v>
      </c>
      <c r="R2" s="3" t="s">
        <v>48</v>
      </c>
      <c r="S2" s="3">
        <v>11.0</v>
      </c>
      <c r="T2" s="3">
        <v>32.0</v>
      </c>
      <c r="U2" s="3" t="s">
        <v>49</v>
      </c>
      <c r="V2" s="3" t="s">
        <v>50</v>
      </c>
      <c r="W2" s="3" t="s">
        <v>51</v>
      </c>
      <c r="X2" s="7" t="s">
        <v>52</v>
      </c>
      <c r="Y2" s="7" t="s">
        <v>53</v>
      </c>
      <c r="Z2" s="3" t="s">
        <v>54</v>
      </c>
      <c r="AA2" s="3" t="s">
        <v>42</v>
      </c>
      <c r="AB2" s="3"/>
      <c r="AC2" s="7"/>
      <c r="AD2" s="5" t="s">
        <v>55</v>
      </c>
      <c r="AE2" s="3" t="s">
        <v>56</v>
      </c>
      <c r="AF2" s="7" t="s">
        <v>57</v>
      </c>
      <c r="AG2" s="7"/>
      <c r="AH2" s="8" t="s">
        <v>58</v>
      </c>
      <c r="AI2" s="7"/>
    </row>
    <row r="3" ht="18.0" customHeight="1">
      <c r="A3" s="3">
        <v>2.0</v>
      </c>
      <c r="B3" s="3" t="s">
        <v>59</v>
      </c>
      <c r="C3" s="9" t="s">
        <v>60</v>
      </c>
      <c r="D3" s="10" t="s">
        <v>61</v>
      </c>
      <c r="E3" s="11" t="s">
        <v>62</v>
      </c>
      <c r="F3" s="3" t="s">
        <v>63</v>
      </c>
      <c r="G3" s="10" t="s">
        <v>64</v>
      </c>
      <c r="H3" s="3" t="s">
        <v>41</v>
      </c>
      <c r="I3" s="3" t="s">
        <v>65</v>
      </c>
      <c r="J3" s="3" t="s">
        <v>66</v>
      </c>
      <c r="K3" s="5" t="s">
        <v>67</v>
      </c>
      <c r="L3" s="3">
        <v>2023.0</v>
      </c>
      <c r="M3" s="3" t="s">
        <v>45</v>
      </c>
      <c r="N3" s="3" t="s">
        <v>46</v>
      </c>
      <c r="O3" s="3"/>
      <c r="P3" s="3"/>
      <c r="Q3" s="12" t="s">
        <v>47</v>
      </c>
      <c r="R3" s="3" t="s">
        <v>48</v>
      </c>
      <c r="S3" s="3">
        <v>10.0</v>
      </c>
      <c r="T3" s="3">
        <v>25.0</v>
      </c>
      <c r="U3" s="12">
        <v>0.49</v>
      </c>
      <c r="V3" s="3" t="s">
        <v>68</v>
      </c>
      <c r="W3" s="10" t="s">
        <v>69</v>
      </c>
      <c r="X3" s="7" t="s">
        <v>52</v>
      </c>
      <c r="Y3" s="7" t="s">
        <v>53</v>
      </c>
      <c r="Z3" s="3" t="s">
        <v>54</v>
      </c>
      <c r="AA3" s="3" t="s">
        <v>65</v>
      </c>
      <c r="AB3" s="3"/>
      <c r="AC3" s="3"/>
      <c r="AD3" s="13" t="s">
        <v>70</v>
      </c>
      <c r="AE3" s="3" t="s">
        <v>56</v>
      </c>
      <c r="AF3" s="7" t="s">
        <v>71</v>
      </c>
      <c r="AG3" s="7" t="s">
        <v>72</v>
      </c>
      <c r="AH3" s="8" t="s">
        <v>58</v>
      </c>
      <c r="AI3" s="7"/>
    </row>
    <row r="4" ht="18.0" customHeight="1">
      <c r="A4" s="3">
        <v>3.0</v>
      </c>
      <c r="B4" s="3" t="s">
        <v>73</v>
      </c>
      <c r="C4" s="3" t="s">
        <v>74</v>
      </c>
      <c r="D4" s="3" t="s">
        <v>75</v>
      </c>
      <c r="E4" s="3" t="s">
        <v>76</v>
      </c>
      <c r="F4" s="3" t="s">
        <v>77</v>
      </c>
      <c r="G4" s="3" t="s">
        <v>78</v>
      </c>
      <c r="H4" s="3" t="s">
        <v>41</v>
      </c>
      <c r="I4" s="3" t="s">
        <v>79</v>
      </c>
      <c r="J4" s="3" t="s">
        <v>80</v>
      </c>
      <c r="K4" s="3" t="s">
        <v>81</v>
      </c>
      <c r="L4" s="3">
        <v>1991.0</v>
      </c>
      <c r="M4" s="3" t="s">
        <v>45</v>
      </c>
      <c r="N4" s="3" t="s">
        <v>46</v>
      </c>
      <c r="O4" s="3"/>
      <c r="P4" s="3"/>
      <c r="Q4" s="12" t="s">
        <v>47</v>
      </c>
      <c r="R4" s="3" t="s">
        <v>48</v>
      </c>
      <c r="S4" s="3">
        <v>12.0</v>
      </c>
      <c r="T4" s="3">
        <v>12.0</v>
      </c>
      <c r="U4" s="3" t="s">
        <v>82</v>
      </c>
      <c r="V4" s="3" t="s">
        <v>83</v>
      </c>
      <c r="W4" s="7" t="s">
        <v>84</v>
      </c>
      <c r="X4" s="7" t="s">
        <v>52</v>
      </c>
      <c r="Y4" s="3" t="s">
        <v>85</v>
      </c>
      <c r="Z4" s="3" t="s">
        <v>86</v>
      </c>
      <c r="AA4" s="3"/>
      <c r="AB4" s="3"/>
      <c r="AC4" s="3" t="s">
        <v>79</v>
      </c>
      <c r="AD4" s="5" t="s">
        <v>87</v>
      </c>
      <c r="AE4" s="3" t="s">
        <v>88</v>
      </c>
      <c r="AF4" s="8" t="s">
        <v>89</v>
      </c>
      <c r="AG4" s="7" t="s">
        <v>90</v>
      </c>
      <c r="AH4" s="7" t="s">
        <v>58</v>
      </c>
      <c r="AI4" s="7"/>
    </row>
    <row r="5" ht="18.0" customHeight="1">
      <c r="A5" s="3">
        <v>4.0</v>
      </c>
      <c r="B5" s="3" t="s">
        <v>91</v>
      </c>
      <c r="C5" s="3" t="s">
        <v>92</v>
      </c>
      <c r="D5" s="3" t="s">
        <v>93</v>
      </c>
      <c r="E5" s="3" t="s">
        <v>94</v>
      </c>
      <c r="F5" s="3" t="s">
        <v>95</v>
      </c>
      <c r="G5" s="3" t="s">
        <v>96</v>
      </c>
      <c r="H5" s="3" t="s">
        <v>97</v>
      </c>
      <c r="I5" s="3" t="s">
        <v>79</v>
      </c>
      <c r="J5" s="5" t="s">
        <v>98</v>
      </c>
      <c r="K5" s="5" t="s">
        <v>99</v>
      </c>
      <c r="L5" s="5">
        <v>1997.0</v>
      </c>
      <c r="M5" s="5" t="s">
        <v>45</v>
      </c>
      <c r="N5" s="3" t="s">
        <v>46</v>
      </c>
      <c r="O5" s="3"/>
      <c r="P5" s="3"/>
      <c r="Q5" s="14" t="s">
        <v>47</v>
      </c>
      <c r="R5" s="5" t="s">
        <v>48</v>
      </c>
      <c r="S5" s="5">
        <v>6.0</v>
      </c>
      <c r="T5" s="5">
        <v>32.0</v>
      </c>
      <c r="U5" s="5" t="s">
        <v>100</v>
      </c>
      <c r="V5" s="5" t="s">
        <v>101</v>
      </c>
      <c r="W5" s="5" t="s">
        <v>102</v>
      </c>
      <c r="X5" s="8" t="s">
        <v>52</v>
      </c>
      <c r="Y5" s="8" t="s">
        <v>103</v>
      </c>
      <c r="Z5" s="5" t="s">
        <v>54</v>
      </c>
      <c r="AA5" s="5" t="s">
        <v>79</v>
      </c>
      <c r="AB5" s="5"/>
      <c r="AC5" s="8"/>
      <c r="AD5" s="5" t="s">
        <v>104</v>
      </c>
      <c r="AE5" s="5" t="s">
        <v>56</v>
      </c>
      <c r="AF5" s="8" t="s">
        <v>89</v>
      </c>
      <c r="AG5" s="8" t="s">
        <v>105</v>
      </c>
      <c r="AH5" s="8" t="s">
        <v>58</v>
      </c>
      <c r="AI5" s="8"/>
    </row>
    <row r="6" ht="18.0" customHeight="1">
      <c r="A6" s="3">
        <v>5.0</v>
      </c>
      <c r="B6" s="3" t="str">
        <f t="shared" ref="B6:B8" si="1">LEFT(J6,FIND(" ",J6)-1) &amp; " et al " &amp; L6</f>
        <v>Brook et al 2002</v>
      </c>
      <c r="C6" s="10" t="s">
        <v>106</v>
      </c>
      <c r="D6" s="10" t="s">
        <v>107</v>
      </c>
      <c r="E6" s="3" t="s">
        <v>108</v>
      </c>
      <c r="F6" s="3" t="s">
        <v>109</v>
      </c>
      <c r="G6" s="3" t="s">
        <v>110</v>
      </c>
      <c r="H6" s="3" t="s">
        <v>97</v>
      </c>
      <c r="I6" s="10" t="s">
        <v>79</v>
      </c>
      <c r="J6" s="13" t="s">
        <v>111</v>
      </c>
      <c r="K6" s="10" t="s">
        <v>112</v>
      </c>
      <c r="L6" s="13">
        <v>2002.0</v>
      </c>
      <c r="M6" s="5" t="s">
        <v>45</v>
      </c>
      <c r="N6" s="10" t="s">
        <v>113</v>
      </c>
      <c r="O6" s="10" t="s">
        <v>114</v>
      </c>
      <c r="P6" s="10" t="s">
        <v>79</v>
      </c>
      <c r="Q6" s="6" t="s">
        <v>47</v>
      </c>
      <c r="R6" s="13" t="s">
        <v>48</v>
      </c>
      <c r="S6" s="13" t="s">
        <v>115</v>
      </c>
      <c r="T6" s="13" t="s">
        <v>115</v>
      </c>
      <c r="U6" s="3" t="s">
        <v>116</v>
      </c>
      <c r="V6" s="13" t="s">
        <v>117</v>
      </c>
      <c r="W6" s="15" t="s">
        <v>118</v>
      </c>
      <c r="X6" s="16" t="s">
        <v>52</v>
      </c>
      <c r="Y6" s="16" t="s">
        <v>119</v>
      </c>
      <c r="Z6" s="3" t="s">
        <v>54</v>
      </c>
      <c r="AA6" s="3" t="s">
        <v>79</v>
      </c>
      <c r="AB6" s="3"/>
      <c r="AC6" s="3"/>
      <c r="AD6" s="13" t="s">
        <v>120</v>
      </c>
      <c r="AE6" s="3" t="s">
        <v>56</v>
      </c>
      <c r="AF6" s="7" t="s">
        <v>121</v>
      </c>
      <c r="AG6" s="8"/>
      <c r="AH6" s="8" t="s">
        <v>58</v>
      </c>
      <c r="AI6" s="8"/>
    </row>
    <row r="7" ht="18.0" customHeight="1">
      <c r="A7" s="3">
        <v>6.0</v>
      </c>
      <c r="B7" s="3" t="str">
        <f t="shared" si="1"/>
        <v>Newcomb et al 1993</v>
      </c>
      <c r="C7" s="3" t="s">
        <v>122</v>
      </c>
      <c r="D7" s="3" t="s">
        <v>123</v>
      </c>
      <c r="E7" s="3" t="s">
        <v>124</v>
      </c>
      <c r="F7" s="3" t="s">
        <v>125</v>
      </c>
      <c r="G7" s="3" t="s">
        <v>126</v>
      </c>
      <c r="H7" s="3" t="s">
        <v>97</v>
      </c>
      <c r="I7" s="3" t="s">
        <v>79</v>
      </c>
      <c r="J7" s="3" t="s">
        <v>127</v>
      </c>
      <c r="K7" s="3" t="s">
        <v>128</v>
      </c>
      <c r="L7" s="3">
        <v>1993.0</v>
      </c>
      <c r="M7" s="3" t="s">
        <v>45</v>
      </c>
      <c r="N7" s="3" t="s">
        <v>46</v>
      </c>
      <c r="O7" s="3"/>
      <c r="P7" s="3"/>
      <c r="Q7" s="12" t="s">
        <v>47</v>
      </c>
      <c r="R7" s="3" t="s">
        <v>48</v>
      </c>
      <c r="S7" s="3">
        <v>12.0</v>
      </c>
      <c r="T7" s="3">
        <v>15.0</v>
      </c>
      <c r="U7" s="3" t="s">
        <v>129</v>
      </c>
      <c r="V7" s="3" t="s">
        <v>83</v>
      </c>
      <c r="W7" s="3" t="s">
        <v>130</v>
      </c>
      <c r="X7" s="7" t="s">
        <v>52</v>
      </c>
      <c r="Y7" s="7" t="s">
        <v>131</v>
      </c>
      <c r="Z7" s="3" t="s">
        <v>54</v>
      </c>
      <c r="AA7" s="3" t="s">
        <v>79</v>
      </c>
      <c r="AB7" s="3"/>
      <c r="AC7" s="7"/>
      <c r="AD7" s="5" t="s">
        <v>132</v>
      </c>
      <c r="AE7" s="3" t="s">
        <v>56</v>
      </c>
      <c r="AF7" s="8" t="s">
        <v>89</v>
      </c>
      <c r="AG7" s="7" t="s">
        <v>133</v>
      </c>
      <c r="AH7" s="7" t="s">
        <v>58</v>
      </c>
      <c r="AI7" s="7"/>
    </row>
    <row r="8" ht="18.0" customHeight="1">
      <c r="A8" s="3">
        <v>7.0</v>
      </c>
      <c r="B8" s="3" t="str">
        <f t="shared" si="1"/>
        <v>Green et al 2012</v>
      </c>
      <c r="C8" s="3" t="s">
        <v>92</v>
      </c>
      <c r="D8" s="3" t="s">
        <v>134</v>
      </c>
      <c r="E8" s="3" t="s">
        <v>135</v>
      </c>
      <c r="F8" s="3" t="s">
        <v>136</v>
      </c>
      <c r="G8" s="3" t="s">
        <v>137</v>
      </c>
      <c r="H8" s="3" t="s">
        <v>41</v>
      </c>
      <c r="I8" s="3" t="s">
        <v>79</v>
      </c>
      <c r="J8" s="3" t="s">
        <v>138</v>
      </c>
      <c r="K8" s="3" t="s">
        <v>139</v>
      </c>
      <c r="L8" s="3">
        <v>2012.0</v>
      </c>
      <c r="M8" s="3" t="s">
        <v>45</v>
      </c>
      <c r="N8" s="3" t="s">
        <v>46</v>
      </c>
      <c r="O8" s="3"/>
      <c r="P8" s="3"/>
      <c r="Q8" s="12" t="s">
        <v>47</v>
      </c>
      <c r="R8" s="3" t="s">
        <v>48</v>
      </c>
      <c r="S8" s="3">
        <v>6.0</v>
      </c>
      <c r="T8" s="3">
        <v>7.0</v>
      </c>
      <c r="U8" s="3" t="s">
        <v>140</v>
      </c>
      <c r="V8" s="3" t="s">
        <v>101</v>
      </c>
      <c r="W8" s="3" t="s">
        <v>141</v>
      </c>
      <c r="X8" s="7" t="s">
        <v>52</v>
      </c>
      <c r="Y8" s="7" t="s">
        <v>142</v>
      </c>
      <c r="Z8" s="3" t="s">
        <v>86</v>
      </c>
      <c r="AA8" s="3"/>
      <c r="AB8" s="3"/>
      <c r="AC8" s="3" t="s">
        <v>79</v>
      </c>
      <c r="AD8" s="5" t="s">
        <v>143</v>
      </c>
      <c r="AE8" s="3" t="s">
        <v>144</v>
      </c>
      <c r="AF8" s="8" t="s">
        <v>57</v>
      </c>
      <c r="AG8" s="7" t="s">
        <v>145</v>
      </c>
      <c r="AH8" s="8" t="s">
        <v>58</v>
      </c>
      <c r="AI8" s="7"/>
    </row>
    <row r="9" ht="18.0" customHeight="1">
      <c r="A9" s="3">
        <v>8.0</v>
      </c>
      <c r="B9" s="3" t="s">
        <v>146</v>
      </c>
      <c r="C9" s="3" t="s">
        <v>147</v>
      </c>
      <c r="D9" s="3" t="s">
        <v>148</v>
      </c>
      <c r="E9" s="3" t="s">
        <v>149</v>
      </c>
      <c r="F9" s="3" t="s">
        <v>150</v>
      </c>
      <c r="G9" s="3" t="s">
        <v>151</v>
      </c>
      <c r="H9" s="3" t="s">
        <v>41</v>
      </c>
      <c r="I9" s="3" t="s">
        <v>152</v>
      </c>
      <c r="J9" s="5" t="s">
        <v>153</v>
      </c>
      <c r="K9" s="5" t="s">
        <v>154</v>
      </c>
      <c r="L9" s="5">
        <v>1986.0</v>
      </c>
      <c r="M9" s="5" t="s">
        <v>45</v>
      </c>
      <c r="N9" s="3" t="s">
        <v>46</v>
      </c>
      <c r="O9" s="3"/>
      <c r="P9" s="3"/>
      <c r="Q9" s="6" t="s">
        <v>47</v>
      </c>
      <c r="R9" s="5" t="s">
        <v>48</v>
      </c>
      <c r="S9" s="5" t="s">
        <v>155</v>
      </c>
      <c r="T9" s="5" t="s">
        <v>156</v>
      </c>
      <c r="U9" s="3" t="s">
        <v>157</v>
      </c>
      <c r="V9" s="3" t="s">
        <v>158</v>
      </c>
      <c r="W9" s="7" t="s">
        <v>159</v>
      </c>
      <c r="X9" s="8" t="s">
        <v>52</v>
      </c>
      <c r="Y9" s="3" t="s">
        <v>160</v>
      </c>
      <c r="Z9" s="3" t="s">
        <v>54</v>
      </c>
      <c r="AA9" s="3" t="s">
        <v>152</v>
      </c>
      <c r="AB9" s="3"/>
      <c r="AC9" s="3"/>
      <c r="AD9" s="5" t="s">
        <v>161</v>
      </c>
      <c r="AE9" s="3" t="s">
        <v>56</v>
      </c>
      <c r="AF9" s="8" t="s">
        <v>162</v>
      </c>
      <c r="AG9" s="8"/>
      <c r="AH9" s="8" t="s">
        <v>58</v>
      </c>
      <c r="AI9" s="8"/>
    </row>
    <row r="10" ht="18.0" customHeight="1">
      <c r="A10" s="3">
        <v>9.0</v>
      </c>
      <c r="B10" s="3" t="str">
        <f t="shared" ref="B10:B36" si="2">LEFT(J10,FIND(" ",J10)-1) &amp; " et al " &amp; L10</f>
        <v>Newcomb et al 1999</v>
      </c>
      <c r="C10" s="3" t="s">
        <v>163</v>
      </c>
      <c r="D10" s="3" t="s">
        <v>164</v>
      </c>
      <c r="E10" s="3" t="s">
        <v>165</v>
      </c>
      <c r="F10" s="3" t="s">
        <v>166</v>
      </c>
      <c r="G10" s="3" t="s">
        <v>167</v>
      </c>
      <c r="H10" s="3" t="s">
        <v>41</v>
      </c>
      <c r="I10" s="3" t="s">
        <v>42</v>
      </c>
      <c r="J10" s="3" t="s">
        <v>168</v>
      </c>
      <c r="K10" s="3" t="s">
        <v>169</v>
      </c>
      <c r="L10" s="3">
        <v>1999.0</v>
      </c>
      <c r="M10" s="3" t="s">
        <v>45</v>
      </c>
      <c r="N10" s="3" t="s">
        <v>46</v>
      </c>
      <c r="O10" s="3"/>
      <c r="P10" s="3"/>
      <c r="Q10" s="12" t="s">
        <v>47</v>
      </c>
      <c r="R10" s="3" t="s">
        <v>48</v>
      </c>
      <c r="S10" s="3">
        <v>28.0</v>
      </c>
      <c r="T10" s="3">
        <v>32.0</v>
      </c>
      <c r="U10" s="3" t="s">
        <v>170</v>
      </c>
      <c r="V10" s="3" t="s">
        <v>158</v>
      </c>
      <c r="W10" s="3" t="s">
        <v>171</v>
      </c>
      <c r="X10" s="7" t="s">
        <v>172</v>
      </c>
      <c r="Y10" s="7" t="s">
        <v>173</v>
      </c>
      <c r="Z10" s="3" t="s">
        <v>174</v>
      </c>
      <c r="AA10" s="3" t="s">
        <v>42</v>
      </c>
      <c r="AB10" s="3" t="s">
        <v>42</v>
      </c>
      <c r="AC10" s="7"/>
      <c r="AD10" s="3" t="s">
        <v>175</v>
      </c>
      <c r="AE10" s="3" t="s">
        <v>176</v>
      </c>
      <c r="AF10" s="7" t="s">
        <v>89</v>
      </c>
      <c r="AG10" s="7" t="s">
        <v>177</v>
      </c>
      <c r="AH10" s="7" t="s">
        <v>58</v>
      </c>
      <c r="AI10" s="7"/>
    </row>
    <row r="11" ht="18.0" customHeight="1">
      <c r="A11" s="3">
        <v>10.0</v>
      </c>
      <c r="B11" s="3" t="str">
        <f t="shared" si="2"/>
        <v>Leung et al 2010</v>
      </c>
      <c r="C11" s="3" t="s">
        <v>178</v>
      </c>
      <c r="D11" s="3" t="s">
        <v>179</v>
      </c>
      <c r="E11" s="3" t="s">
        <v>180</v>
      </c>
      <c r="F11" s="3" t="s">
        <v>181</v>
      </c>
      <c r="G11" s="3" t="s">
        <v>182</v>
      </c>
      <c r="H11" s="3" t="s">
        <v>183</v>
      </c>
      <c r="I11" s="3" t="s">
        <v>184</v>
      </c>
      <c r="J11" s="3" t="s">
        <v>185</v>
      </c>
      <c r="K11" s="5" t="s">
        <v>186</v>
      </c>
      <c r="L11" s="3">
        <v>2010.0</v>
      </c>
      <c r="M11" s="3" t="s">
        <v>45</v>
      </c>
      <c r="N11" s="3" t="s">
        <v>113</v>
      </c>
      <c r="O11" s="3" t="s">
        <v>187</v>
      </c>
      <c r="P11" s="3" t="s">
        <v>152</v>
      </c>
      <c r="Q11" s="12" t="s">
        <v>47</v>
      </c>
      <c r="R11" s="3" t="s">
        <v>188</v>
      </c>
      <c r="S11" s="3">
        <v>16.0</v>
      </c>
      <c r="T11" s="3">
        <v>47.0</v>
      </c>
      <c r="U11" s="3" t="s">
        <v>189</v>
      </c>
      <c r="V11" s="10" t="s">
        <v>190</v>
      </c>
      <c r="W11" s="3" t="s">
        <v>191</v>
      </c>
      <c r="X11" s="3" t="s">
        <v>52</v>
      </c>
      <c r="Y11" s="7" t="s">
        <v>53</v>
      </c>
      <c r="Z11" s="3" t="s">
        <v>54</v>
      </c>
      <c r="AA11" s="3" t="s">
        <v>184</v>
      </c>
      <c r="AB11" s="3"/>
      <c r="AC11" s="3"/>
      <c r="AD11" s="5" t="s">
        <v>192</v>
      </c>
      <c r="AE11" s="3" t="s">
        <v>56</v>
      </c>
      <c r="AF11" s="7" t="s">
        <v>121</v>
      </c>
      <c r="AG11" s="7"/>
      <c r="AH11" s="8" t="s">
        <v>58</v>
      </c>
      <c r="AI11" s="7"/>
    </row>
    <row r="12" ht="18.0" customHeight="1">
      <c r="A12" s="3">
        <v>11.0</v>
      </c>
      <c r="B12" s="3" t="str">
        <f t="shared" si="2"/>
        <v>Daumann et al 2004</v>
      </c>
      <c r="C12" s="3" t="s">
        <v>178</v>
      </c>
      <c r="D12" s="3" t="s">
        <v>193</v>
      </c>
      <c r="E12" s="3" t="s">
        <v>194</v>
      </c>
      <c r="F12" s="3" t="s">
        <v>195</v>
      </c>
      <c r="G12" s="3" t="s">
        <v>196</v>
      </c>
      <c r="H12" s="3" t="s">
        <v>97</v>
      </c>
      <c r="I12" s="3" t="s">
        <v>184</v>
      </c>
      <c r="J12" s="3" t="s">
        <v>197</v>
      </c>
      <c r="K12" s="3" t="s">
        <v>198</v>
      </c>
      <c r="L12" s="3">
        <v>2004.0</v>
      </c>
      <c r="M12" s="3" t="s">
        <v>45</v>
      </c>
      <c r="N12" s="3" t="s">
        <v>46</v>
      </c>
      <c r="O12" s="3"/>
      <c r="P12" s="3"/>
      <c r="Q12" s="6" t="s">
        <v>199</v>
      </c>
      <c r="R12" s="3" t="s">
        <v>188</v>
      </c>
      <c r="S12" s="3" t="s">
        <v>200</v>
      </c>
      <c r="T12" s="3" t="s">
        <v>201</v>
      </c>
      <c r="U12" s="3" t="s">
        <v>202</v>
      </c>
      <c r="V12" s="3" t="s">
        <v>83</v>
      </c>
      <c r="W12" s="3" t="s">
        <v>203</v>
      </c>
      <c r="X12" s="7" t="s">
        <v>204</v>
      </c>
      <c r="Y12" s="7" t="s">
        <v>205</v>
      </c>
      <c r="Z12" s="3" t="s">
        <v>174</v>
      </c>
      <c r="AA12" s="3" t="s">
        <v>184</v>
      </c>
      <c r="AB12" s="3" t="s">
        <v>184</v>
      </c>
      <c r="AC12" s="7"/>
      <c r="AD12" s="5" t="s">
        <v>206</v>
      </c>
      <c r="AE12" s="3" t="s">
        <v>207</v>
      </c>
      <c r="AF12" s="7" t="s">
        <v>121</v>
      </c>
      <c r="AG12" s="7" t="s">
        <v>208</v>
      </c>
      <c r="AH12" s="7" t="s">
        <v>209</v>
      </c>
      <c r="AI12" s="7"/>
    </row>
    <row r="13" ht="18.0" customHeight="1">
      <c r="A13" s="3">
        <v>12.0</v>
      </c>
      <c r="B13" s="3" t="str">
        <f t="shared" si="2"/>
        <v>Nayak et al 2023</v>
      </c>
      <c r="C13" s="10" t="s">
        <v>210</v>
      </c>
      <c r="D13" s="3" t="s">
        <v>211</v>
      </c>
      <c r="E13" s="3" t="s">
        <v>212</v>
      </c>
      <c r="F13" s="3" t="s">
        <v>213</v>
      </c>
      <c r="G13" s="3" t="s">
        <v>214</v>
      </c>
      <c r="H13" s="3" t="s">
        <v>97</v>
      </c>
      <c r="I13" s="3" t="s">
        <v>215</v>
      </c>
      <c r="J13" s="10" t="s">
        <v>216</v>
      </c>
      <c r="K13" s="13" t="s">
        <v>217</v>
      </c>
      <c r="L13" s="10">
        <v>2023.0</v>
      </c>
      <c r="M13" s="3" t="s">
        <v>45</v>
      </c>
      <c r="N13" s="3" t="s">
        <v>113</v>
      </c>
      <c r="O13" s="3" t="s">
        <v>218</v>
      </c>
      <c r="P13" s="3" t="s">
        <v>215</v>
      </c>
      <c r="Q13" s="12" t="s">
        <v>47</v>
      </c>
      <c r="R13" s="10" t="s">
        <v>219</v>
      </c>
      <c r="S13" s="10">
        <v>18.0</v>
      </c>
      <c r="T13" s="10">
        <v>89.0</v>
      </c>
      <c r="U13" s="3" t="s">
        <v>220</v>
      </c>
      <c r="V13" s="3" t="s">
        <v>83</v>
      </c>
      <c r="W13" s="10" t="s">
        <v>203</v>
      </c>
      <c r="X13" s="17" t="s">
        <v>52</v>
      </c>
      <c r="Y13" s="7" t="s">
        <v>221</v>
      </c>
      <c r="Z13" s="3" t="s">
        <v>54</v>
      </c>
      <c r="AA13" s="3" t="s">
        <v>215</v>
      </c>
      <c r="AB13" s="3"/>
      <c r="AC13" s="7"/>
      <c r="AD13" s="5" t="s">
        <v>222</v>
      </c>
      <c r="AE13" s="3" t="s">
        <v>223</v>
      </c>
      <c r="AF13" s="7" t="s">
        <v>71</v>
      </c>
      <c r="AG13" s="7"/>
      <c r="AH13" s="8" t="s">
        <v>58</v>
      </c>
      <c r="AI13" s="7"/>
    </row>
    <row r="14" ht="18.0" customHeight="1">
      <c r="A14" s="3">
        <v>13.0</v>
      </c>
      <c r="B14" s="3" t="str">
        <f t="shared" si="2"/>
        <v>Li et al 2020</v>
      </c>
      <c r="C14" s="10" t="s">
        <v>224</v>
      </c>
      <c r="D14" s="10" t="s">
        <v>225</v>
      </c>
      <c r="E14" s="3" t="s">
        <v>226</v>
      </c>
      <c r="F14" s="3" t="s">
        <v>227</v>
      </c>
      <c r="G14" s="10" t="s">
        <v>228</v>
      </c>
      <c r="H14" s="3" t="s">
        <v>41</v>
      </c>
      <c r="I14" s="10" t="s">
        <v>42</v>
      </c>
      <c r="J14" s="10" t="s">
        <v>229</v>
      </c>
      <c r="K14" s="13" t="s">
        <v>230</v>
      </c>
      <c r="L14" s="10">
        <v>2020.0</v>
      </c>
      <c r="M14" s="3" t="s">
        <v>45</v>
      </c>
      <c r="N14" s="10" t="s">
        <v>46</v>
      </c>
      <c r="O14" s="10"/>
      <c r="P14" s="10"/>
      <c r="Q14" s="12" t="s">
        <v>47</v>
      </c>
      <c r="R14" s="3" t="s">
        <v>231</v>
      </c>
      <c r="S14" s="10" t="s">
        <v>69</v>
      </c>
      <c r="T14" s="10" t="s">
        <v>69</v>
      </c>
      <c r="U14" s="10" t="s">
        <v>69</v>
      </c>
      <c r="V14" s="18" t="s">
        <v>232</v>
      </c>
      <c r="W14" s="10" t="s">
        <v>69</v>
      </c>
      <c r="X14" s="10" t="s">
        <v>52</v>
      </c>
      <c r="Y14" s="7" t="s">
        <v>233</v>
      </c>
      <c r="Z14" s="3" t="s">
        <v>54</v>
      </c>
      <c r="AA14" s="3" t="s">
        <v>42</v>
      </c>
      <c r="AB14" s="3"/>
      <c r="AC14" s="3"/>
      <c r="AD14" s="13" t="s">
        <v>234</v>
      </c>
      <c r="AE14" s="3" t="s">
        <v>56</v>
      </c>
      <c r="AF14" s="16" t="s">
        <v>57</v>
      </c>
      <c r="AG14" s="7"/>
      <c r="AH14" s="8" t="s">
        <v>58</v>
      </c>
      <c r="AI14" s="7"/>
    </row>
    <row r="15" ht="18.0" customHeight="1">
      <c r="A15" s="3">
        <v>14.0</v>
      </c>
      <c r="B15" s="3" t="str">
        <f t="shared" si="2"/>
        <v>N'Goran et al 2014</v>
      </c>
      <c r="C15" s="3" t="s">
        <v>235</v>
      </c>
      <c r="D15" s="10" t="s">
        <v>236</v>
      </c>
      <c r="E15" s="3" t="s">
        <v>237</v>
      </c>
      <c r="F15" s="3" t="s">
        <v>238</v>
      </c>
      <c r="G15" s="3" t="s">
        <v>239</v>
      </c>
      <c r="H15" s="3" t="s">
        <v>41</v>
      </c>
      <c r="I15" s="3" t="s">
        <v>42</v>
      </c>
      <c r="J15" s="10" t="s">
        <v>240</v>
      </c>
      <c r="K15" s="13" t="s">
        <v>241</v>
      </c>
      <c r="L15" s="10">
        <v>2014.0</v>
      </c>
      <c r="M15" s="3" t="s">
        <v>45</v>
      </c>
      <c r="N15" s="3" t="s">
        <v>46</v>
      </c>
      <c r="O15" s="3"/>
      <c r="P15" s="3"/>
      <c r="Q15" s="12" t="s">
        <v>242</v>
      </c>
      <c r="R15" s="3" t="s">
        <v>231</v>
      </c>
      <c r="S15" s="10" t="s">
        <v>243</v>
      </c>
      <c r="T15" s="10" t="s">
        <v>243</v>
      </c>
      <c r="U15" s="3" t="s">
        <v>244</v>
      </c>
      <c r="V15" s="10" t="s">
        <v>245</v>
      </c>
      <c r="W15" s="10" t="s">
        <v>69</v>
      </c>
      <c r="X15" s="17" t="s">
        <v>52</v>
      </c>
      <c r="Y15" s="7" t="s">
        <v>246</v>
      </c>
      <c r="Z15" s="3" t="s">
        <v>86</v>
      </c>
      <c r="AA15" s="3"/>
      <c r="AB15" s="3"/>
      <c r="AC15" s="7" t="s">
        <v>42</v>
      </c>
      <c r="AD15" s="5" t="s">
        <v>247</v>
      </c>
      <c r="AE15" s="10" t="s">
        <v>248</v>
      </c>
      <c r="AF15" s="7" t="s">
        <v>57</v>
      </c>
      <c r="AG15" s="7"/>
      <c r="AH15" s="8" t="s">
        <v>58</v>
      </c>
      <c r="AI15" s="7"/>
    </row>
    <row r="16" ht="18.0" customHeight="1">
      <c r="A16" s="3">
        <v>15.0</v>
      </c>
      <c r="B16" s="3" t="str">
        <f t="shared" si="2"/>
        <v>Martins et al 2012</v>
      </c>
      <c r="C16" s="3" t="s">
        <v>224</v>
      </c>
      <c r="D16" s="3" t="s">
        <v>225</v>
      </c>
      <c r="E16" s="3" t="s">
        <v>226</v>
      </c>
      <c r="F16" s="3" t="s">
        <v>249</v>
      </c>
      <c r="G16" s="3" t="s">
        <v>250</v>
      </c>
      <c r="H16" s="3" t="s">
        <v>41</v>
      </c>
      <c r="I16" s="3" t="s">
        <v>42</v>
      </c>
      <c r="J16" s="3" t="s">
        <v>251</v>
      </c>
      <c r="K16" s="3" t="s">
        <v>252</v>
      </c>
      <c r="L16" s="3">
        <v>2012.0</v>
      </c>
      <c r="M16" s="3" t="s">
        <v>45</v>
      </c>
      <c r="N16" s="3" t="s">
        <v>46</v>
      </c>
      <c r="O16" s="3"/>
      <c r="P16" s="3"/>
      <c r="Q16" s="3" t="s">
        <v>47</v>
      </c>
      <c r="R16" s="3" t="s">
        <v>231</v>
      </c>
      <c r="S16" s="3">
        <v>18.0</v>
      </c>
      <c r="T16" s="3" t="s">
        <v>253</v>
      </c>
      <c r="U16" s="3" t="s">
        <v>254</v>
      </c>
      <c r="V16" s="3" t="s">
        <v>232</v>
      </c>
      <c r="W16" s="3" t="s">
        <v>255</v>
      </c>
      <c r="X16" s="7" t="s">
        <v>256</v>
      </c>
      <c r="Y16" s="7" t="s">
        <v>257</v>
      </c>
      <c r="Z16" s="3" t="s">
        <v>174</v>
      </c>
      <c r="AA16" s="3" t="s">
        <v>42</v>
      </c>
      <c r="AB16" s="3" t="s">
        <v>42</v>
      </c>
      <c r="AC16" s="7"/>
      <c r="AD16" s="5" t="s">
        <v>258</v>
      </c>
      <c r="AE16" s="3" t="s">
        <v>56</v>
      </c>
      <c r="AF16" s="7" t="s">
        <v>57</v>
      </c>
      <c r="AG16" s="7" t="s">
        <v>259</v>
      </c>
      <c r="AH16" s="8" t="s">
        <v>58</v>
      </c>
      <c r="AI16" s="7"/>
    </row>
    <row r="17" ht="18.0" customHeight="1">
      <c r="A17" s="3">
        <v>16.0</v>
      </c>
      <c r="B17" s="3" t="str">
        <f t="shared" si="2"/>
        <v>Harrington et al 2011</v>
      </c>
      <c r="C17" s="3" t="s">
        <v>260</v>
      </c>
      <c r="D17" s="10" t="s">
        <v>164</v>
      </c>
      <c r="E17" s="3" t="s">
        <v>261</v>
      </c>
      <c r="F17" s="3" t="s">
        <v>262</v>
      </c>
      <c r="G17" s="10" t="s">
        <v>263</v>
      </c>
      <c r="H17" s="10" t="s">
        <v>183</v>
      </c>
      <c r="I17" s="10" t="s">
        <v>65</v>
      </c>
      <c r="J17" s="13" t="s">
        <v>264</v>
      </c>
      <c r="K17" s="13" t="s">
        <v>265</v>
      </c>
      <c r="L17" s="10">
        <v>2011.0</v>
      </c>
      <c r="M17" s="3" t="s">
        <v>45</v>
      </c>
      <c r="N17" s="3" t="s">
        <v>46</v>
      </c>
      <c r="O17" s="10"/>
      <c r="P17" s="10"/>
      <c r="Q17" s="12" t="s">
        <v>47</v>
      </c>
      <c r="R17" s="3" t="s">
        <v>231</v>
      </c>
      <c r="S17" s="10">
        <v>18.0</v>
      </c>
      <c r="T17" s="10" t="s">
        <v>266</v>
      </c>
      <c r="U17" s="3" t="s">
        <v>267</v>
      </c>
      <c r="V17" s="3" t="s">
        <v>232</v>
      </c>
      <c r="W17" s="17" t="s">
        <v>69</v>
      </c>
      <c r="X17" s="7" t="s">
        <v>52</v>
      </c>
      <c r="Y17" s="10" t="s">
        <v>268</v>
      </c>
      <c r="Z17" s="3" t="s">
        <v>174</v>
      </c>
      <c r="AA17" s="3" t="s">
        <v>152</v>
      </c>
      <c r="AB17" s="3" t="s">
        <v>184</v>
      </c>
      <c r="AC17" s="7"/>
      <c r="AD17" s="13" t="s">
        <v>269</v>
      </c>
      <c r="AE17" s="3" t="s">
        <v>56</v>
      </c>
      <c r="AF17" s="7" t="s">
        <v>57</v>
      </c>
      <c r="AG17" s="7" t="s">
        <v>270</v>
      </c>
      <c r="AH17" s="8" t="s">
        <v>58</v>
      </c>
      <c r="AI17" s="7"/>
    </row>
    <row r="18" ht="18.0" customHeight="1">
      <c r="A18" s="3">
        <v>17.0</v>
      </c>
      <c r="B18" s="3" t="str">
        <f t="shared" si="2"/>
        <v>Cho et al 2021</v>
      </c>
      <c r="C18" s="10" t="s">
        <v>224</v>
      </c>
      <c r="D18" s="10" t="s">
        <v>271</v>
      </c>
      <c r="E18" s="3" t="s">
        <v>272</v>
      </c>
      <c r="F18" s="3" t="s">
        <v>273</v>
      </c>
      <c r="G18" s="3" t="s">
        <v>274</v>
      </c>
      <c r="H18" s="10" t="s">
        <v>183</v>
      </c>
      <c r="I18" s="3" t="s">
        <v>65</v>
      </c>
      <c r="J18" s="10" t="s">
        <v>275</v>
      </c>
      <c r="K18" s="10" t="s">
        <v>276</v>
      </c>
      <c r="L18" s="10">
        <v>2021.0</v>
      </c>
      <c r="M18" s="3" t="s">
        <v>45</v>
      </c>
      <c r="N18" s="3" t="s">
        <v>46</v>
      </c>
      <c r="O18" s="3"/>
      <c r="P18" s="3"/>
      <c r="Q18" s="6" t="s">
        <v>47</v>
      </c>
      <c r="R18" s="3" t="s">
        <v>231</v>
      </c>
      <c r="S18" s="10" t="s">
        <v>277</v>
      </c>
      <c r="T18" s="10" t="s">
        <v>277</v>
      </c>
      <c r="U18" s="3" t="s">
        <v>278</v>
      </c>
      <c r="V18" s="3" t="s">
        <v>83</v>
      </c>
      <c r="W18" s="19" t="s">
        <v>279</v>
      </c>
      <c r="X18" s="10" t="s">
        <v>52</v>
      </c>
      <c r="Y18" s="7" t="s">
        <v>280</v>
      </c>
      <c r="Z18" s="3" t="s">
        <v>174</v>
      </c>
      <c r="AA18" s="3" t="s">
        <v>152</v>
      </c>
      <c r="AB18" s="3" t="s">
        <v>184</v>
      </c>
      <c r="AC18" s="3"/>
      <c r="AD18" s="13" t="s">
        <v>281</v>
      </c>
      <c r="AE18" s="3" t="s">
        <v>56</v>
      </c>
      <c r="AF18" s="7" t="s">
        <v>71</v>
      </c>
      <c r="AG18" s="7"/>
      <c r="AH18" s="8" t="s">
        <v>58</v>
      </c>
      <c r="AI18" s="7"/>
    </row>
    <row r="19" ht="18.0" customHeight="1">
      <c r="A19" s="3">
        <v>18.0</v>
      </c>
      <c r="B19" s="3" t="str">
        <f t="shared" si="2"/>
        <v>Austin et al 2021</v>
      </c>
      <c r="C19" s="10" t="s">
        <v>224</v>
      </c>
      <c r="D19" s="3" t="s">
        <v>107</v>
      </c>
      <c r="E19" s="3" t="s">
        <v>282</v>
      </c>
      <c r="F19" s="3" t="s">
        <v>283</v>
      </c>
      <c r="G19" s="10" t="s">
        <v>284</v>
      </c>
      <c r="H19" s="3" t="s">
        <v>97</v>
      </c>
      <c r="I19" s="10" t="s">
        <v>79</v>
      </c>
      <c r="J19" s="10" t="s">
        <v>285</v>
      </c>
      <c r="K19" s="13" t="s">
        <v>286</v>
      </c>
      <c r="L19" s="10">
        <v>2021.0</v>
      </c>
      <c r="M19" s="3" t="s">
        <v>45</v>
      </c>
      <c r="N19" s="3" t="s">
        <v>46</v>
      </c>
      <c r="O19" s="10"/>
      <c r="P19" s="10"/>
      <c r="Q19" s="6" t="s">
        <v>47</v>
      </c>
      <c r="R19" s="3" t="s">
        <v>231</v>
      </c>
      <c r="S19" s="10">
        <v>12.0</v>
      </c>
      <c r="T19" s="10">
        <v>42.0</v>
      </c>
      <c r="U19" s="3" t="s">
        <v>287</v>
      </c>
      <c r="V19" s="3" t="s">
        <v>288</v>
      </c>
      <c r="W19" s="19" t="s">
        <v>289</v>
      </c>
      <c r="X19" s="10" t="s">
        <v>52</v>
      </c>
      <c r="Y19" s="17" t="s">
        <v>290</v>
      </c>
      <c r="Z19" s="3" t="s">
        <v>174</v>
      </c>
      <c r="AA19" s="3" t="s">
        <v>79</v>
      </c>
      <c r="AB19" s="3" t="s">
        <v>79</v>
      </c>
      <c r="AC19" s="3"/>
      <c r="AD19" s="13" t="s">
        <v>291</v>
      </c>
      <c r="AE19" s="10" t="s">
        <v>292</v>
      </c>
      <c r="AF19" s="7" t="s">
        <v>71</v>
      </c>
      <c r="AG19" s="7"/>
      <c r="AH19" s="8" t="s">
        <v>58</v>
      </c>
      <c r="AI19" s="7"/>
    </row>
    <row r="20" ht="18.0" customHeight="1">
      <c r="A20" s="3">
        <v>19.0</v>
      </c>
      <c r="B20" s="3" t="str">
        <f t="shared" si="2"/>
        <v>Guo et al 2016</v>
      </c>
      <c r="C20" s="10" t="s">
        <v>293</v>
      </c>
      <c r="D20" s="10" t="s">
        <v>294</v>
      </c>
      <c r="E20" s="3" t="s">
        <v>295</v>
      </c>
      <c r="F20" s="3" t="s">
        <v>296</v>
      </c>
      <c r="G20" s="3" t="s">
        <v>297</v>
      </c>
      <c r="H20" s="3" t="s">
        <v>97</v>
      </c>
      <c r="I20" s="10" t="s">
        <v>79</v>
      </c>
      <c r="J20" s="13" t="s">
        <v>298</v>
      </c>
      <c r="K20" s="10" t="s">
        <v>299</v>
      </c>
      <c r="L20" s="13">
        <v>2016.0</v>
      </c>
      <c r="M20" s="5" t="s">
        <v>45</v>
      </c>
      <c r="N20" s="3" t="s">
        <v>46</v>
      </c>
      <c r="O20" s="10"/>
      <c r="P20" s="10"/>
      <c r="Q20" s="20" t="s">
        <v>300</v>
      </c>
      <c r="R20" s="3" t="s">
        <v>231</v>
      </c>
      <c r="S20" s="13">
        <v>10.0</v>
      </c>
      <c r="T20" s="13">
        <v>18.0</v>
      </c>
      <c r="U20" s="3" t="s">
        <v>301</v>
      </c>
      <c r="V20" s="10" t="s">
        <v>83</v>
      </c>
      <c r="W20" s="10" t="s">
        <v>69</v>
      </c>
      <c r="X20" s="13" t="s">
        <v>52</v>
      </c>
      <c r="Y20" s="7" t="s">
        <v>53</v>
      </c>
      <c r="Z20" s="3" t="s">
        <v>54</v>
      </c>
      <c r="AA20" s="3" t="s">
        <v>79</v>
      </c>
      <c r="AB20" s="3"/>
      <c r="AC20" s="7"/>
      <c r="AD20" s="5" t="s">
        <v>302</v>
      </c>
      <c r="AE20" s="3" t="s">
        <v>56</v>
      </c>
      <c r="AF20" s="7" t="s">
        <v>57</v>
      </c>
      <c r="AG20" s="8"/>
      <c r="AH20" s="8" t="s">
        <v>58</v>
      </c>
      <c r="AI20" s="8"/>
    </row>
    <row r="21" ht="18.0" customHeight="1">
      <c r="A21" s="3">
        <v>20.0</v>
      </c>
      <c r="B21" s="3" t="str">
        <f t="shared" si="2"/>
        <v>Marengo et al 2022</v>
      </c>
      <c r="C21" s="3" t="s">
        <v>224</v>
      </c>
      <c r="D21" s="3" t="s">
        <v>294</v>
      </c>
      <c r="E21" s="3" t="s">
        <v>303</v>
      </c>
      <c r="F21" s="3" t="s">
        <v>304</v>
      </c>
      <c r="G21" s="3" t="s">
        <v>305</v>
      </c>
      <c r="H21" s="3" t="s">
        <v>97</v>
      </c>
      <c r="I21" s="3" t="s">
        <v>65</v>
      </c>
      <c r="J21" s="21" t="s">
        <v>306</v>
      </c>
      <c r="K21" s="3" t="s">
        <v>307</v>
      </c>
      <c r="L21" s="3">
        <v>2022.0</v>
      </c>
      <c r="M21" s="3" t="s">
        <v>45</v>
      </c>
      <c r="N21" s="3" t="s">
        <v>46</v>
      </c>
      <c r="O21" s="3"/>
      <c r="P21" s="3"/>
      <c r="Q21" s="6" t="s">
        <v>47</v>
      </c>
      <c r="R21" s="3" t="s">
        <v>231</v>
      </c>
      <c r="S21" s="3">
        <v>18.0</v>
      </c>
      <c r="T21" s="3">
        <v>30.0</v>
      </c>
      <c r="U21" s="3" t="s">
        <v>308</v>
      </c>
      <c r="V21" s="3" t="s">
        <v>309</v>
      </c>
      <c r="W21" s="3" t="s">
        <v>255</v>
      </c>
      <c r="X21" s="3" t="s">
        <v>310</v>
      </c>
      <c r="Y21" s="7" t="s">
        <v>311</v>
      </c>
      <c r="Z21" s="3" t="s">
        <v>174</v>
      </c>
      <c r="AA21" s="3" t="s">
        <v>184</v>
      </c>
      <c r="AB21" s="3" t="s">
        <v>79</v>
      </c>
      <c r="AC21" s="7"/>
      <c r="AD21" s="3" t="s">
        <v>312</v>
      </c>
      <c r="AE21" s="3" t="s">
        <v>56</v>
      </c>
      <c r="AF21" s="7" t="s">
        <v>71</v>
      </c>
      <c r="AG21" s="7"/>
      <c r="AH21" s="7" t="s">
        <v>58</v>
      </c>
      <c r="AI21" s="7"/>
    </row>
    <row r="22" ht="18.0" customHeight="1">
      <c r="A22" s="3">
        <v>21.0</v>
      </c>
      <c r="B22" s="3" t="str">
        <f t="shared" si="2"/>
        <v>Copeland et al 2020</v>
      </c>
      <c r="C22" s="10" t="s">
        <v>313</v>
      </c>
      <c r="D22" s="10" t="s">
        <v>314</v>
      </c>
      <c r="E22" s="3" t="s">
        <v>315</v>
      </c>
      <c r="F22" s="3" t="s">
        <v>316</v>
      </c>
      <c r="G22" s="3" t="s">
        <v>317</v>
      </c>
      <c r="H22" s="3" t="s">
        <v>183</v>
      </c>
      <c r="I22" s="3" t="s">
        <v>152</v>
      </c>
      <c r="J22" s="10" t="s">
        <v>318</v>
      </c>
      <c r="K22" s="13" t="s">
        <v>319</v>
      </c>
      <c r="L22" s="10">
        <v>2020.0</v>
      </c>
      <c r="M22" s="3" t="s">
        <v>45</v>
      </c>
      <c r="N22" s="3" t="s">
        <v>46</v>
      </c>
      <c r="O22" s="3"/>
      <c r="P22" s="3"/>
      <c r="Q22" s="6" t="s">
        <v>47</v>
      </c>
      <c r="R22" s="3" t="s">
        <v>231</v>
      </c>
      <c r="S22" s="10">
        <v>9.0</v>
      </c>
      <c r="T22" s="13">
        <v>13.0</v>
      </c>
      <c r="U22" s="3" t="s">
        <v>320</v>
      </c>
      <c r="V22" s="3" t="s">
        <v>321</v>
      </c>
      <c r="W22" s="10" t="s">
        <v>255</v>
      </c>
      <c r="X22" s="17" t="s">
        <v>52</v>
      </c>
      <c r="Y22" s="7" t="s">
        <v>322</v>
      </c>
      <c r="Z22" s="3" t="s">
        <v>86</v>
      </c>
      <c r="AA22" s="3"/>
      <c r="AB22" s="3"/>
      <c r="AC22" s="7" t="s">
        <v>152</v>
      </c>
      <c r="AD22" s="5" t="s">
        <v>323</v>
      </c>
      <c r="AE22" s="3" t="s">
        <v>56</v>
      </c>
      <c r="AF22" s="7" t="s">
        <v>57</v>
      </c>
      <c r="AG22" s="7"/>
      <c r="AH22" s="8" t="s">
        <v>58</v>
      </c>
      <c r="AI22" s="7"/>
    </row>
    <row r="23" ht="18.0" customHeight="1">
      <c r="A23" s="3">
        <v>22.0</v>
      </c>
      <c r="B23" s="3" t="str">
        <f t="shared" si="2"/>
        <v>Guillot et al 2024</v>
      </c>
      <c r="C23" s="10" t="s">
        <v>324</v>
      </c>
      <c r="D23" s="10" t="s">
        <v>294</v>
      </c>
      <c r="E23" s="3" t="s">
        <v>325</v>
      </c>
      <c r="F23" s="3" t="s">
        <v>326</v>
      </c>
      <c r="G23" s="3" t="s">
        <v>327</v>
      </c>
      <c r="H23" s="3" t="s">
        <v>183</v>
      </c>
      <c r="I23" s="10" t="s">
        <v>152</v>
      </c>
      <c r="J23" s="10" t="s">
        <v>328</v>
      </c>
      <c r="K23" s="10" t="s">
        <v>329</v>
      </c>
      <c r="L23" s="10">
        <v>2024.0</v>
      </c>
      <c r="M23" s="3" t="s">
        <v>45</v>
      </c>
      <c r="N23" s="10" t="s">
        <v>46</v>
      </c>
      <c r="O23" s="10"/>
      <c r="P23" s="10"/>
      <c r="Q23" s="6" t="s">
        <v>47</v>
      </c>
      <c r="R23" s="3" t="s">
        <v>231</v>
      </c>
      <c r="S23" s="10" t="s">
        <v>330</v>
      </c>
      <c r="T23" s="10" t="s">
        <v>330</v>
      </c>
      <c r="U23" s="3" t="s">
        <v>331</v>
      </c>
      <c r="V23" s="10" t="s">
        <v>332</v>
      </c>
      <c r="W23" s="10" t="s">
        <v>69</v>
      </c>
      <c r="X23" s="3" t="s">
        <v>52</v>
      </c>
      <c r="Y23" s="17" t="s">
        <v>333</v>
      </c>
      <c r="Z23" s="3" t="s">
        <v>174</v>
      </c>
      <c r="AA23" s="3" t="s">
        <v>152</v>
      </c>
      <c r="AB23" s="3" t="s">
        <v>152</v>
      </c>
      <c r="AC23" s="7"/>
      <c r="AD23" s="10" t="s">
        <v>334</v>
      </c>
      <c r="AE23" s="3" t="s">
        <v>56</v>
      </c>
      <c r="AF23" s="7" t="s">
        <v>71</v>
      </c>
      <c r="AG23" s="7"/>
      <c r="AH23" s="7" t="s">
        <v>58</v>
      </c>
      <c r="AI23" s="7"/>
    </row>
    <row r="24" ht="18.0" customHeight="1">
      <c r="A24" s="3">
        <v>23.0</v>
      </c>
      <c r="B24" s="3" t="str">
        <f t="shared" si="2"/>
        <v>Davis et al 2021</v>
      </c>
      <c r="C24" s="10" t="s">
        <v>335</v>
      </c>
      <c r="D24" s="10" t="s">
        <v>225</v>
      </c>
      <c r="E24" s="3" t="s">
        <v>336</v>
      </c>
      <c r="F24" s="3" t="s">
        <v>337</v>
      </c>
      <c r="G24" s="3" t="s">
        <v>338</v>
      </c>
      <c r="H24" s="10" t="s">
        <v>183</v>
      </c>
      <c r="I24" s="3" t="s">
        <v>152</v>
      </c>
      <c r="J24" s="10" t="s">
        <v>339</v>
      </c>
      <c r="K24" s="13" t="s">
        <v>340</v>
      </c>
      <c r="L24" s="10">
        <v>2021.0</v>
      </c>
      <c r="M24" s="3" t="s">
        <v>45</v>
      </c>
      <c r="N24" s="3" t="s">
        <v>46</v>
      </c>
      <c r="O24" s="3"/>
      <c r="P24" s="3"/>
      <c r="Q24" s="6" t="s">
        <v>47</v>
      </c>
      <c r="R24" s="3" t="s">
        <v>231</v>
      </c>
      <c r="S24" s="10" t="s">
        <v>341</v>
      </c>
      <c r="T24" s="10" t="s">
        <v>341</v>
      </c>
      <c r="U24" s="3" t="s">
        <v>342</v>
      </c>
      <c r="V24" s="10" t="s">
        <v>83</v>
      </c>
      <c r="W24" s="17" t="s">
        <v>69</v>
      </c>
      <c r="X24" s="17" t="s">
        <v>52</v>
      </c>
      <c r="Y24" s="10" t="s">
        <v>343</v>
      </c>
      <c r="Z24" s="3" t="s">
        <v>174</v>
      </c>
      <c r="AA24" s="3" t="s">
        <v>152</v>
      </c>
      <c r="AB24" s="3" t="s">
        <v>152</v>
      </c>
      <c r="AC24" s="7"/>
      <c r="AD24" s="13" t="s">
        <v>344</v>
      </c>
      <c r="AE24" s="10" t="s">
        <v>345</v>
      </c>
      <c r="AF24" s="7" t="s">
        <v>71</v>
      </c>
      <c r="AG24" s="7"/>
      <c r="AH24" s="8" t="s">
        <v>58</v>
      </c>
      <c r="AI24" s="7"/>
    </row>
    <row r="25" ht="18.0" customHeight="1">
      <c r="A25" s="3">
        <v>24.0</v>
      </c>
      <c r="B25" s="3" t="str">
        <f t="shared" si="2"/>
        <v>Stewart et al 2021</v>
      </c>
      <c r="C25" s="10" t="s">
        <v>224</v>
      </c>
      <c r="D25" s="10" t="s">
        <v>294</v>
      </c>
      <c r="E25" s="3" t="s">
        <v>346</v>
      </c>
      <c r="F25" s="3" t="s">
        <v>347</v>
      </c>
      <c r="G25" s="3" t="s">
        <v>348</v>
      </c>
      <c r="H25" s="10" t="s">
        <v>183</v>
      </c>
      <c r="I25" s="3" t="s">
        <v>152</v>
      </c>
      <c r="J25" s="10" t="s">
        <v>349</v>
      </c>
      <c r="K25" s="10" t="s">
        <v>350</v>
      </c>
      <c r="L25" s="10">
        <v>2021.0</v>
      </c>
      <c r="M25" s="3" t="s">
        <v>45</v>
      </c>
      <c r="N25" s="3" t="s">
        <v>113</v>
      </c>
      <c r="O25" s="3" t="s">
        <v>351</v>
      </c>
      <c r="P25" s="3" t="s">
        <v>152</v>
      </c>
      <c r="Q25" s="6" t="s">
        <v>47</v>
      </c>
      <c r="R25" s="3" t="s">
        <v>231</v>
      </c>
      <c r="S25" s="10" t="s">
        <v>352</v>
      </c>
      <c r="T25" s="10" t="s">
        <v>352</v>
      </c>
      <c r="U25" s="3" t="s">
        <v>353</v>
      </c>
      <c r="V25" s="10" t="s">
        <v>354</v>
      </c>
      <c r="W25" s="10" t="s">
        <v>69</v>
      </c>
      <c r="X25" s="10" t="s">
        <v>52</v>
      </c>
      <c r="Y25" s="17" t="s">
        <v>355</v>
      </c>
      <c r="Z25" s="3" t="s">
        <v>356</v>
      </c>
      <c r="AA25" s="3"/>
      <c r="AB25" s="3" t="s">
        <v>152</v>
      </c>
      <c r="AC25" s="7"/>
      <c r="AD25" s="10" t="s">
        <v>357</v>
      </c>
      <c r="AE25" s="3" t="s">
        <v>56</v>
      </c>
      <c r="AF25" s="7" t="s">
        <v>71</v>
      </c>
      <c r="AG25" s="7"/>
      <c r="AH25" s="7" t="s">
        <v>58</v>
      </c>
      <c r="AI25" s="7"/>
    </row>
    <row r="26" ht="18.0" customHeight="1">
      <c r="A26" s="3">
        <v>25.0</v>
      </c>
      <c r="B26" s="3" t="str">
        <f t="shared" si="2"/>
        <v>Shanahan et al 2021</v>
      </c>
      <c r="C26" s="10" t="s">
        <v>224</v>
      </c>
      <c r="D26" s="3" t="s">
        <v>314</v>
      </c>
      <c r="E26" s="3" t="s">
        <v>315</v>
      </c>
      <c r="F26" s="3" t="s">
        <v>358</v>
      </c>
      <c r="G26" s="3" t="s">
        <v>359</v>
      </c>
      <c r="H26" s="3" t="s">
        <v>183</v>
      </c>
      <c r="I26" s="3" t="s">
        <v>152</v>
      </c>
      <c r="J26" s="3" t="s">
        <v>360</v>
      </c>
      <c r="K26" s="3" t="s">
        <v>361</v>
      </c>
      <c r="L26" s="3">
        <v>2021.0</v>
      </c>
      <c r="M26" s="3" t="s">
        <v>45</v>
      </c>
      <c r="N26" s="3" t="s">
        <v>46</v>
      </c>
      <c r="O26" s="3"/>
      <c r="P26" s="3"/>
      <c r="Q26" s="6" t="s">
        <v>47</v>
      </c>
      <c r="R26" s="3" t="s">
        <v>231</v>
      </c>
      <c r="S26" s="3">
        <v>9.0</v>
      </c>
      <c r="T26" s="3">
        <v>13.0</v>
      </c>
      <c r="U26" s="3" t="s">
        <v>362</v>
      </c>
      <c r="V26" s="3" t="s">
        <v>363</v>
      </c>
      <c r="W26" s="3" t="s">
        <v>364</v>
      </c>
      <c r="X26" s="3" t="s">
        <v>52</v>
      </c>
      <c r="Y26" s="7" t="s">
        <v>233</v>
      </c>
      <c r="Z26" s="3" t="s">
        <v>54</v>
      </c>
      <c r="AA26" s="3" t="s">
        <v>152</v>
      </c>
      <c r="AB26" s="3"/>
      <c r="AC26" s="7"/>
      <c r="AD26" s="5" t="s">
        <v>365</v>
      </c>
      <c r="AE26" s="3" t="s">
        <v>366</v>
      </c>
      <c r="AF26" s="7" t="s">
        <v>71</v>
      </c>
      <c r="AG26" s="7" t="s">
        <v>367</v>
      </c>
      <c r="AH26" s="8" t="s">
        <v>58</v>
      </c>
      <c r="AI26" s="7"/>
    </row>
    <row r="27" ht="18.0" customHeight="1">
      <c r="A27" s="3">
        <v>26.0</v>
      </c>
      <c r="B27" s="3" t="str">
        <f t="shared" si="2"/>
        <v>Carmona et al 2020</v>
      </c>
      <c r="C27" s="10" t="s">
        <v>368</v>
      </c>
      <c r="D27" s="10" t="s">
        <v>369</v>
      </c>
      <c r="E27" s="22" t="s">
        <v>370</v>
      </c>
      <c r="F27" s="3" t="s">
        <v>371</v>
      </c>
      <c r="G27" s="10" t="s">
        <v>372</v>
      </c>
      <c r="H27" s="10" t="s">
        <v>183</v>
      </c>
      <c r="I27" s="10" t="s">
        <v>152</v>
      </c>
      <c r="J27" s="13" t="s">
        <v>373</v>
      </c>
      <c r="K27" s="13" t="s">
        <v>374</v>
      </c>
      <c r="L27" s="13">
        <v>2020.0</v>
      </c>
      <c r="M27" s="5" t="s">
        <v>45</v>
      </c>
      <c r="N27" s="3" t="s">
        <v>46</v>
      </c>
      <c r="O27" s="10"/>
      <c r="P27" s="10"/>
      <c r="Q27" s="6" t="s">
        <v>47</v>
      </c>
      <c r="R27" s="3" t="s">
        <v>231</v>
      </c>
      <c r="S27" s="13">
        <v>12.0</v>
      </c>
      <c r="T27" s="13">
        <v>17.0</v>
      </c>
      <c r="U27" s="3" t="s">
        <v>375</v>
      </c>
      <c r="V27" s="3" t="s">
        <v>376</v>
      </c>
      <c r="W27" s="17" t="s">
        <v>69</v>
      </c>
      <c r="X27" s="13" t="s">
        <v>52</v>
      </c>
      <c r="Y27" s="7" t="s">
        <v>233</v>
      </c>
      <c r="Z27" s="3" t="s">
        <v>54</v>
      </c>
      <c r="AA27" s="3" t="s">
        <v>152</v>
      </c>
      <c r="AB27" s="3"/>
      <c r="AC27" s="7"/>
      <c r="AD27" s="13" t="s">
        <v>377</v>
      </c>
      <c r="AE27" s="3" t="s">
        <v>56</v>
      </c>
      <c r="AF27" s="16" t="s">
        <v>57</v>
      </c>
      <c r="AG27" s="8"/>
      <c r="AH27" s="8" t="s">
        <v>58</v>
      </c>
      <c r="AI27" s="8"/>
    </row>
    <row r="28" ht="18.0" customHeight="1">
      <c r="A28" s="3">
        <v>27.0</v>
      </c>
      <c r="B28" s="3" t="str">
        <f t="shared" si="2"/>
        <v>Katz et al 2013</v>
      </c>
      <c r="C28" s="10" t="s">
        <v>224</v>
      </c>
      <c r="D28" s="10" t="s">
        <v>225</v>
      </c>
      <c r="E28" s="22" t="s">
        <v>226</v>
      </c>
      <c r="F28" s="3" t="s">
        <v>378</v>
      </c>
      <c r="G28" s="3" t="s">
        <v>379</v>
      </c>
      <c r="H28" s="3" t="s">
        <v>183</v>
      </c>
      <c r="I28" s="3" t="s">
        <v>152</v>
      </c>
      <c r="J28" s="10" t="s">
        <v>380</v>
      </c>
      <c r="K28" s="13" t="s">
        <v>381</v>
      </c>
      <c r="L28" s="10">
        <v>2013.0</v>
      </c>
      <c r="M28" s="3" t="s">
        <v>45</v>
      </c>
      <c r="N28" s="3" t="s">
        <v>46</v>
      </c>
      <c r="O28" s="3"/>
      <c r="P28" s="3"/>
      <c r="Q28" s="12" t="s">
        <v>47</v>
      </c>
      <c r="R28" s="3" t="s">
        <v>231</v>
      </c>
      <c r="S28" s="10" t="s">
        <v>382</v>
      </c>
      <c r="T28" s="10" t="s">
        <v>382</v>
      </c>
      <c r="U28" s="3" t="s">
        <v>383</v>
      </c>
      <c r="V28" s="3" t="s">
        <v>232</v>
      </c>
      <c r="W28" s="10" t="s">
        <v>69</v>
      </c>
      <c r="X28" s="7" t="s">
        <v>52</v>
      </c>
      <c r="Y28" s="7" t="s">
        <v>384</v>
      </c>
      <c r="Z28" s="3" t="s">
        <v>86</v>
      </c>
      <c r="AA28" s="3"/>
      <c r="AB28" s="3"/>
      <c r="AC28" s="3" t="s">
        <v>152</v>
      </c>
      <c r="AD28" s="13" t="s">
        <v>385</v>
      </c>
      <c r="AE28" s="3" t="s">
        <v>56</v>
      </c>
      <c r="AF28" s="16" t="s">
        <v>57</v>
      </c>
      <c r="AG28" s="7"/>
      <c r="AH28" s="8" t="s">
        <v>58</v>
      </c>
      <c r="AI28" s="7"/>
    </row>
    <row r="29" ht="18.0" customHeight="1">
      <c r="A29" s="3">
        <v>28.0</v>
      </c>
      <c r="B29" s="3" t="str">
        <f t="shared" si="2"/>
        <v>Kelley-Quon et al 2019</v>
      </c>
      <c r="C29" s="3" t="s">
        <v>386</v>
      </c>
      <c r="D29" s="3" t="s">
        <v>271</v>
      </c>
      <c r="E29" s="3" t="s">
        <v>387</v>
      </c>
      <c r="F29" s="3" t="s">
        <v>388</v>
      </c>
      <c r="G29" s="3" t="s">
        <v>389</v>
      </c>
      <c r="H29" s="3" t="s">
        <v>183</v>
      </c>
      <c r="I29" s="3" t="s">
        <v>184</v>
      </c>
      <c r="J29" s="3" t="s">
        <v>390</v>
      </c>
      <c r="K29" s="3" t="s">
        <v>391</v>
      </c>
      <c r="L29" s="3">
        <v>2019.0</v>
      </c>
      <c r="M29" s="3" t="s">
        <v>45</v>
      </c>
      <c r="N29" s="3" t="s">
        <v>46</v>
      </c>
      <c r="O29" s="3"/>
      <c r="P29" s="3"/>
      <c r="Q29" s="6" t="s">
        <v>47</v>
      </c>
      <c r="R29" s="3" t="s">
        <v>231</v>
      </c>
      <c r="S29" s="5" t="s">
        <v>392</v>
      </c>
      <c r="T29" s="5" t="s">
        <v>392</v>
      </c>
      <c r="U29" s="3" t="s">
        <v>393</v>
      </c>
      <c r="V29" s="10" t="s">
        <v>332</v>
      </c>
      <c r="W29" s="10" t="s">
        <v>69</v>
      </c>
      <c r="X29" s="7" t="s">
        <v>52</v>
      </c>
      <c r="Y29" s="7" t="s">
        <v>53</v>
      </c>
      <c r="Z29" s="3" t="s">
        <v>54</v>
      </c>
      <c r="AA29" s="3" t="s">
        <v>184</v>
      </c>
      <c r="AB29" s="3"/>
      <c r="AC29" s="7"/>
      <c r="AD29" s="5" t="s">
        <v>394</v>
      </c>
      <c r="AE29" s="3" t="s">
        <v>56</v>
      </c>
      <c r="AF29" s="7" t="s">
        <v>57</v>
      </c>
      <c r="AG29" s="7"/>
      <c r="AH29" s="8" t="s">
        <v>58</v>
      </c>
      <c r="AI29" s="7"/>
    </row>
    <row r="30" ht="18.0" customHeight="1">
      <c r="A30" s="3">
        <v>29.0</v>
      </c>
      <c r="B30" s="3" t="str">
        <f t="shared" si="2"/>
        <v>Capaldi et al 2019</v>
      </c>
      <c r="C30" s="10" t="s">
        <v>224</v>
      </c>
      <c r="D30" s="10" t="s">
        <v>395</v>
      </c>
      <c r="E30" s="3" t="s">
        <v>396</v>
      </c>
      <c r="F30" s="3" t="s">
        <v>397</v>
      </c>
      <c r="G30" s="3" t="s">
        <v>398</v>
      </c>
      <c r="H30" s="10" t="s">
        <v>183</v>
      </c>
      <c r="I30" s="3" t="s">
        <v>184</v>
      </c>
      <c r="J30" s="10" t="s">
        <v>399</v>
      </c>
      <c r="K30" s="10" t="s">
        <v>400</v>
      </c>
      <c r="L30" s="10">
        <v>2019.0</v>
      </c>
      <c r="M30" s="3" t="s">
        <v>45</v>
      </c>
      <c r="N30" s="3" t="s">
        <v>113</v>
      </c>
      <c r="O30" s="3" t="s">
        <v>401</v>
      </c>
      <c r="P30" s="3" t="s">
        <v>152</v>
      </c>
      <c r="Q30" s="6" t="s">
        <v>47</v>
      </c>
      <c r="R30" s="3" t="s">
        <v>231</v>
      </c>
      <c r="S30" s="10">
        <v>14.0</v>
      </c>
      <c r="T30" s="10">
        <v>15.0</v>
      </c>
      <c r="U30" s="3" t="s">
        <v>244</v>
      </c>
      <c r="V30" s="10" t="s">
        <v>402</v>
      </c>
      <c r="W30" s="17" t="s">
        <v>69</v>
      </c>
      <c r="X30" s="17" t="s">
        <v>52</v>
      </c>
      <c r="Y30" s="3" t="s">
        <v>53</v>
      </c>
      <c r="Z30" s="3" t="s">
        <v>54</v>
      </c>
      <c r="AA30" s="3" t="s">
        <v>184</v>
      </c>
      <c r="AB30" s="3"/>
      <c r="AC30" s="7"/>
      <c r="AD30" s="13" t="s">
        <v>403</v>
      </c>
      <c r="AE30" s="3" t="s">
        <v>56</v>
      </c>
      <c r="AF30" s="16" t="s">
        <v>57</v>
      </c>
      <c r="AG30" s="7" t="s">
        <v>404</v>
      </c>
      <c r="AH30" s="8" t="s">
        <v>58</v>
      </c>
      <c r="AI30" s="7"/>
    </row>
    <row r="31" ht="18.0" customHeight="1">
      <c r="A31" s="3">
        <v>30.0</v>
      </c>
      <c r="B31" s="3" t="str">
        <f t="shared" si="2"/>
        <v>Frohe et al 2019</v>
      </c>
      <c r="C31" s="10" t="s">
        <v>224</v>
      </c>
      <c r="D31" s="10" t="s">
        <v>164</v>
      </c>
      <c r="E31" s="3" t="s">
        <v>405</v>
      </c>
      <c r="F31" s="3" t="s">
        <v>406</v>
      </c>
      <c r="G31" s="3" t="s">
        <v>407</v>
      </c>
      <c r="H31" s="3" t="s">
        <v>183</v>
      </c>
      <c r="I31" s="10" t="s">
        <v>184</v>
      </c>
      <c r="J31" s="10" t="s">
        <v>408</v>
      </c>
      <c r="K31" s="10" t="s">
        <v>409</v>
      </c>
      <c r="L31" s="10">
        <v>2019.0</v>
      </c>
      <c r="M31" s="3" t="s">
        <v>45</v>
      </c>
      <c r="N31" s="10" t="s">
        <v>46</v>
      </c>
      <c r="O31" s="10"/>
      <c r="P31" s="10"/>
      <c r="Q31" s="6" t="s">
        <v>47</v>
      </c>
      <c r="R31" s="3" t="s">
        <v>231</v>
      </c>
      <c r="S31" s="10" t="s">
        <v>410</v>
      </c>
      <c r="T31" s="10" t="s">
        <v>410</v>
      </c>
      <c r="U31" s="3" t="s">
        <v>411</v>
      </c>
      <c r="V31" s="10" t="s">
        <v>412</v>
      </c>
      <c r="W31" s="10" t="s">
        <v>69</v>
      </c>
      <c r="X31" s="17" t="s">
        <v>52</v>
      </c>
      <c r="Y31" s="17" t="s">
        <v>413</v>
      </c>
      <c r="Z31" s="10" t="s">
        <v>54</v>
      </c>
      <c r="AA31" s="3" t="s">
        <v>184</v>
      </c>
      <c r="AB31" s="10"/>
      <c r="AC31" s="17"/>
      <c r="AD31" s="13" t="s">
        <v>414</v>
      </c>
      <c r="AE31" s="10" t="s">
        <v>415</v>
      </c>
      <c r="AF31" s="16" t="s">
        <v>57</v>
      </c>
      <c r="AG31" s="7"/>
      <c r="AH31" s="8" t="s">
        <v>58</v>
      </c>
      <c r="AI31" s="7"/>
    </row>
    <row r="32" ht="18.0" customHeight="1">
      <c r="A32" s="3">
        <v>31.0</v>
      </c>
      <c r="B32" s="3" t="str">
        <f t="shared" si="2"/>
        <v>Fuss et al 2023</v>
      </c>
      <c r="C32" s="3" t="s">
        <v>224</v>
      </c>
      <c r="D32" s="10" t="s">
        <v>294</v>
      </c>
      <c r="E32" s="3" t="s">
        <v>416</v>
      </c>
      <c r="F32" s="3" t="s">
        <v>417</v>
      </c>
      <c r="G32" s="3" t="s">
        <v>418</v>
      </c>
      <c r="H32" s="3" t="s">
        <v>97</v>
      </c>
      <c r="I32" s="3" t="s">
        <v>184</v>
      </c>
      <c r="J32" s="3" t="s">
        <v>419</v>
      </c>
      <c r="K32" s="5" t="s">
        <v>420</v>
      </c>
      <c r="L32" s="3">
        <v>2023.0</v>
      </c>
      <c r="M32" s="3" t="s">
        <v>45</v>
      </c>
      <c r="N32" s="3" t="s">
        <v>46</v>
      </c>
      <c r="O32" s="3"/>
      <c r="P32" s="3"/>
      <c r="Q32" s="12" t="s">
        <v>47</v>
      </c>
      <c r="R32" s="3" t="s">
        <v>231</v>
      </c>
      <c r="S32" s="3">
        <v>18.0</v>
      </c>
      <c r="T32" s="3">
        <v>34.0</v>
      </c>
      <c r="U32" s="12">
        <v>0.55</v>
      </c>
      <c r="V32" s="5" t="s">
        <v>421</v>
      </c>
      <c r="W32" s="10" t="s">
        <v>69</v>
      </c>
      <c r="X32" s="7" t="s">
        <v>52</v>
      </c>
      <c r="Y32" s="7" t="s">
        <v>422</v>
      </c>
      <c r="Z32" s="10" t="s">
        <v>54</v>
      </c>
      <c r="AA32" s="3" t="s">
        <v>184</v>
      </c>
      <c r="AB32" s="10"/>
      <c r="AC32" s="10"/>
      <c r="AD32" s="13" t="s">
        <v>423</v>
      </c>
      <c r="AE32" s="3" t="s">
        <v>56</v>
      </c>
      <c r="AF32" s="7" t="s">
        <v>71</v>
      </c>
      <c r="AG32" s="7" t="s">
        <v>424</v>
      </c>
      <c r="AH32" s="8" t="s">
        <v>58</v>
      </c>
      <c r="AI32" s="7"/>
    </row>
    <row r="33" ht="18.0" customHeight="1">
      <c r="A33" s="3">
        <v>32.0</v>
      </c>
      <c r="B33" s="3" t="str">
        <f t="shared" si="2"/>
        <v>Carbonneau et al 2022</v>
      </c>
      <c r="C33" s="3" t="s">
        <v>425</v>
      </c>
      <c r="D33" s="3" t="s">
        <v>123</v>
      </c>
      <c r="E33" s="3" t="s">
        <v>426</v>
      </c>
      <c r="F33" s="3" t="s">
        <v>427</v>
      </c>
      <c r="G33" s="3" t="s">
        <v>428</v>
      </c>
      <c r="H33" s="3" t="s">
        <v>41</v>
      </c>
      <c r="I33" s="3" t="s">
        <v>65</v>
      </c>
      <c r="J33" s="3" t="s">
        <v>429</v>
      </c>
      <c r="K33" s="3" t="s">
        <v>430</v>
      </c>
      <c r="L33" s="3">
        <v>2022.0</v>
      </c>
      <c r="M33" s="3" t="s">
        <v>45</v>
      </c>
      <c r="N33" s="3" t="s">
        <v>46</v>
      </c>
      <c r="O33" s="3"/>
      <c r="P33" s="3"/>
      <c r="Q33" s="6" t="s">
        <v>431</v>
      </c>
      <c r="R33" s="3" t="s">
        <v>432</v>
      </c>
      <c r="S33" s="3">
        <v>6.0</v>
      </c>
      <c r="T33" s="3">
        <v>6.0</v>
      </c>
      <c r="U33" s="3" t="s">
        <v>244</v>
      </c>
      <c r="V33" s="3" t="s">
        <v>83</v>
      </c>
      <c r="W33" s="3" t="s">
        <v>433</v>
      </c>
      <c r="X33" s="7" t="s">
        <v>52</v>
      </c>
      <c r="Y33" s="7" t="s">
        <v>434</v>
      </c>
      <c r="Z33" s="3" t="s">
        <v>356</v>
      </c>
      <c r="AA33" s="3"/>
      <c r="AB33" s="3" t="s">
        <v>65</v>
      </c>
      <c r="AC33" s="7"/>
      <c r="AD33" s="5" t="s">
        <v>435</v>
      </c>
      <c r="AE33" s="3" t="s">
        <v>436</v>
      </c>
      <c r="AF33" s="7" t="s">
        <v>71</v>
      </c>
      <c r="AG33" s="7" t="s">
        <v>437</v>
      </c>
      <c r="AH33" s="8" t="s">
        <v>58</v>
      </c>
      <c r="AI33" s="7"/>
    </row>
    <row r="34" ht="18.0" customHeight="1">
      <c r="A34" s="3">
        <v>33.0</v>
      </c>
      <c r="B34" s="3" t="str">
        <f t="shared" si="2"/>
        <v>Paton et al 1977</v>
      </c>
      <c r="C34" s="3" t="s">
        <v>438</v>
      </c>
      <c r="D34" s="10" t="s">
        <v>439</v>
      </c>
      <c r="E34" s="3" t="s">
        <v>440</v>
      </c>
      <c r="F34" s="3" t="s">
        <v>441</v>
      </c>
      <c r="G34" s="3" t="s">
        <v>442</v>
      </c>
      <c r="H34" s="3" t="s">
        <v>41</v>
      </c>
      <c r="I34" s="3" t="s">
        <v>65</v>
      </c>
      <c r="J34" s="13" t="s">
        <v>443</v>
      </c>
      <c r="K34" s="10" t="s">
        <v>444</v>
      </c>
      <c r="L34" s="13">
        <v>1977.0</v>
      </c>
      <c r="M34" s="5" t="s">
        <v>45</v>
      </c>
      <c r="N34" s="3" t="s">
        <v>46</v>
      </c>
      <c r="O34" s="3"/>
      <c r="P34" s="3"/>
      <c r="Q34" s="12" t="s">
        <v>47</v>
      </c>
      <c r="R34" s="13" t="s">
        <v>445</v>
      </c>
      <c r="S34" s="10" t="s">
        <v>69</v>
      </c>
      <c r="T34" s="10" t="s">
        <v>69</v>
      </c>
      <c r="U34" s="10" t="s">
        <v>69</v>
      </c>
      <c r="V34" s="3" t="s">
        <v>83</v>
      </c>
      <c r="W34" s="10" t="s">
        <v>69</v>
      </c>
      <c r="X34" s="16" t="s">
        <v>52</v>
      </c>
      <c r="Y34" s="16" t="s">
        <v>446</v>
      </c>
      <c r="Z34" s="13" t="s">
        <v>54</v>
      </c>
      <c r="AA34" s="13" t="s">
        <v>65</v>
      </c>
      <c r="AB34" s="13"/>
      <c r="AC34" s="13"/>
      <c r="AD34" s="13" t="s">
        <v>447</v>
      </c>
      <c r="AE34" s="3" t="s">
        <v>56</v>
      </c>
      <c r="AF34" s="16" t="s">
        <v>448</v>
      </c>
      <c r="AG34" s="8"/>
      <c r="AH34" s="8" t="s">
        <v>58</v>
      </c>
      <c r="AI34" s="8"/>
    </row>
    <row r="35" ht="18.0" customHeight="1">
      <c r="A35" s="3">
        <v>34.0</v>
      </c>
      <c r="B35" s="3" t="str">
        <f t="shared" si="2"/>
        <v>Sarala et al 2022</v>
      </c>
      <c r="C35" s="3" t="s">
        <v>449</v>
      </c>
      <c r="D35" s="10" t="s">
        <v>450</v>
      </c>
      <c r="E35" s="3" t="s">
        <v>451</v>
      </c>
      <c r="F35" s="3" t="s">
        <v>452</v>
      </c>
      <c r="G35" s="3" t="s">
        <v>453</v>
      </c>
      <c r="H35" s="3" t="s">
        <v>97</v>
      </c>
      <c r="I35" s="3" t="s">
        <v>65</v>
      </c>
      <c r="J35" s="3" t="s">
        <v>454</v>
      </c>
      <c r="K35" s="3" t="s">
        <v>455</v>
      </c>
      <c r="L35" s="3">
        <v>2022.0</v>
      </c>
      <c r="M35" s="3" t="s">
        <v>45</v>
      </c>
      <c r="N35" s="3" t="s">
        <v>46</v>
      </c>
      <c r="O35" s="3"/>
      <c r="P35" s="3"/>
      <c r="Q35" s="12" t="s">
        <v>456</v>
      </c>
      <c r="R35" s="3" t="s">
        <v>432</v>
      </c>
      <c r="S35" s="3">
        <v>15.0</v>
      </c>
      <c r="T35" s="3">
        <v>16.0</v>
      </c>
      <c r="U35" s="6">
        <v>0.548</v>
      </c>
      <c r="V35" s="5" t="s">
        <v>457</v>
      </c>
      <c r="W35" s="17" t="s">
        <v>458</v>
      </c>
      <c r="X35" s="3" t="s">
        <v>52</v>
      </c>
      <c r="Y35" s="7" t="s">
        <v>459</v>
      </c>
      <c r="Z35" s="3" t="s">
        <v>174</v>
      </c>
      <c r="AA35" s="3" t="s">
        <v>79</v>
      </c>
      <c r="AB35" s="3" t="s">
        <v>184</v>
      </c>
      <c r="AC35" s="3"/>
      <c r="AD35" s="13" t="s">
        <v>460</v>
      </c>
      <c r="AE35" s="3" t="s">
        <v>56</v>
      </c>
      <c r="AF35" s="7" t="s">
        <v>71</v>
      </c>
      <c r="AG35" s="7" t="s">
        <v>461</v>
      </c>
      <c r="AH35" s="8" t="s">
        <v>58</v>
      </c>
      <c r="AI35" s="7"/>
    </row>
    <row r="36" ht="18.0" customHeight="1">
      <c r="A36" s="3">
        <v>35.0</v>
      </c>
      <c r="B36" s="3" t="str">
        <f t="shared" si="2"/>
        <v>Patrick et al 2020</v>
      </c>
      <c r="C36" s="3" t="s">
        <v>462</v>
      </c>
      <c r="D36" s="3" t="s">
        <v>107</v>
      </c>
      <c r="E36" s="3" t="s">
        <v>463</v>
      </c>
      <c r="F36" s="3" t="s">
        <v>464</v>
      </c>
      <c r="G36" s="3" t="s">
        <v>465</v>
      </c>
      <c r="H36" s="3" t="s">
        <v>97</v>
      </c>
      <c r="I36" s="3" t="s">
        <v>79</v>
      </c>
      <c r="J36" s="3" t="s">
        <v>466</v>
      </c>
      <c r="K36" s="3" t="s">
        <v>467</v>
      </c>
      <c r="L36" s="3">
        <v>2020.0</v>
      </c>
      <c r="M36" s="3" t="s">
        <v>45</v>
      </c>
      <c r="N36" s="3" t="s">
        <v>46</v>
      </c>
      <c r="O36" s="3"/>
      <c r="P36" s="3"/>
      <c r="Q36" s="3" t="s">
        <v>47</v>
      </c>
      <c r="R36" s="3" t="s">
        <v>432</v>
      </c>
      <c r="S36" s="3">
        <v>18.0</v>
      </c>
      <c r="T36" s="3">
        <v>18.0</v>
      </c>
      <c r="U36" s="6">
        <v>0.516</v>
      </c>
      <c r="V36" s="3" t="s">
        <v>468</v>
      </c>
      <c r="W36" s="3" t="s">
        <v>255</v>
      </c>
      <c r="X36" s="7" t="s">
        <v>52</v>
      </c>
      <c r="Y36" s="7" t="s">
        <v>469</v>
      </c>
      <c r="Z36" s="3" t="s">
        <v>86</v>
      </c>
      <c r="AA36" s="3"/>
      <c r="AB36" s="3"/>
      <c r="AC36" s="7" t="s">
        <v>79</v>
      </c>
      <c r="AD36" s="5" t="s">
        <v>470</v>
      </c>
      <c r="AE36" s="3" t="s">
        <v>471</v>
      </c>
      <c r="AF36" s="7" t="s">
        <v>57</v>
      </c>
      <c r="AG36" s="7" t="s">
        <v>472</v>
      </c>
      <c r="AH36" s="8" t="s">
        <v>58</v>
      </c>
      <c r="AI36" s="7"/>
    </row>
    <row r="37" ht="18.0" customHeight="1">
      <c r="A37" s="3">
        <v>36.0</v>
      </c>
      <c r="B37" s="3" t="s">
        <v>473</v>
      </c>
      <c r="C37" s="3" t="s">
        <v>474</v>
      </c>
      <c r="D37" s="3" t="s">
        <v>475</v>
      </c>
      <c r="E37" s="3" t="s">
        <v>476</v>
      </c>
      <c r="F37" s="3" t="s">
        <v>477</v>
      </c>
      <c r="G37" s="3" t="s">
        <v>478</v>
      </c>
      <c r="H37" s="3" t="s">
        <v>41</v>
      </c>
      <c r="I37" s="3" t="s">
        <v>79</v>
      </c>
      <c r="J37" s="3" t="s">
        <v>479</v>
      </c>
      <c r="K37" s="3" t="s">
        <v>480</v>
      </c>
      <c r="L37" s="3">
        <v>2003.0</v>
      </c>
      <c r="M37" s="3" t="s">
        <v>45</v>
      </c>
      <c r="N37" s="3" t="s">
        <v>46</v>
      </c>
      <c r="O37" s="3"/>
      <c r="P37" s="3"/>
      <c r="Q37" s="6" t="s">
        <v>481</v>
      </c>
      <c r="R37" s="3" t="s">
        <v>432</v>
      </c>
      <c r="S37" s="3" t="s">
        <v>482</v>
      </c>
      <c r="T37" s="3" t="s">
        <v>482</v>
      </c>
      <c r="U37" s="12">
        <v>0.51</v>
      </c>
      <c r="V37" s="3" t="s">
        <v>483</v>
      </c>
      <c r="W37" s="3" t="s">
        <v>484</v>
      </c>
      <c r="X37" s="3" t="s">
        <v>52</v>
      </c>
      <c r="Y37" s="7" t="s">
        <v>485</v>
      </c>
      <c r="Z37" s="3" t="s">
        <v>54</v>
      </c>
      <c r="AA37" s="3" t="s">
        <v>79</v>
      </c>
      <c r="AB37" s="3"/>
      <c r="AC37" s="3"/>
      <c r="AD37" s="5" t="s">
        <v>486</v>
      </c>
      <c r="AE37" s="3" t="s">
        <v>56</v>
      </c>
      <c r="AF37" s="7" t="s">
        <v>121</v>
      </c>
      <c r="AG37" s="7" t="s">
        <v>487</v>
      </c>
      <c r="AH37" s="8" t="s">
        <v>58</v>
      </c>
      <c r="AI37" s="7"/>
    </row>
    <row r="38" ht="18.0" customHeight="1">
      <c r="A38" s="3">
        <v>37.0</v>
      </c>
      <c r="B38" s="3" t="str">
        <f t="shared" ref="B38:B48" si="3">LEFT(J38,FIND(" ",J38)-1) &amp; " et al " &amp; L38</f>
        <v>Rasic et al 2013</v>
      </c>
      <c r="C38" s="3" t="s">
        <v>488</v>
      </c>
      <c r="D38" s="3" t="s">
        <v>369</v>
      </c>
      <c r="E38" s="3" t="s">
        <v>489</v>
      </c>
      <c r="F38" s="3" t="s">
        <v>490</v>
      </c>
      <c r="G38" s="3" t="s">
        <v>491</v>
      </c>
      <c r="H38" s="3" t="s">
        <v>97</v>
      </c>
      <c r="I38" s="3" t="s">
        <v>79</v>
      </c>
      <c r="J38" s="3" t="s">
        <v>492</v>
      </c>
      <c r="K38" s="3" t="s">
        <v>493</v>
      </c>
      <c r="L38" s="3">
        <v>2013.0</v>
      </c>
      <c r="M38" s="3" t="s">
        <v>45</v>
      </c>
      <c r="N38" s="3" t="s">
        <v>46</v>
      </c>
      <c r="O38" s="3"/>
      <c r="P38" s="3"/>
      <c r="Q38" s="6" t="s">
        <v>431</v>
      </c>
      <c r="R38" s="3" t="s">
        <v>432</v>
      </c>
      <c r="S38" s="3" t="s">
        <v>494</v>
      </c>
      <c r="T38" s="3" t="s">
        <v>494</v>
      </c>
      <c r="U38" s="6">
        <v>0.506</v>
      </c>
      <c r="V38" s="3" t="s">
        <v>288</v>
      </c>
      <c r="W38" s="7" t="s">
        <v>495</v>
      </c>
      <c r="X38" s="7" t="s">
        <v>52</v>
      </c>
      <c r="Y38" s="3" t="s">
        <v>496</v>
      </c>
      <c r="Z38" s="3" t="s">
        <v>54</v>
      </c>
      <c r="AA38" s="3" t="s">
        <v>79</v>
      </c>
      <c r="AB38" s="3"/>
      <c r="AC38" s="3"/>
      <c r="AD38" s="5" t="s">
        <v>497</v>
      </c>
      <c r="AE38" s="3" t="s">
        <v>498</v>
      </c>
      <c r="AF38" s="7" t="s">
        <v>57</v>
      </c>
      <c r="AG38" s="7" t="s">
        <v>499</v>
      </c>
      <c r="AH38" s="7" t="s">
        <v>58</v>
      </c>
      <c r="AI38" s="7"/>
    </row>
    <row r="39" ht="18.0" customHeight="1">
      <c r="A39" s="3">
        <v>38.0</v>
      </c>
      <c r="B39" s="3" t="str">
        <f t="shared" si="3"/>
        <v>Goodwin et al 2004</v>
      </c>
      <c r="C39" s="3" t="s">
        <v>500</v>
      </c>
      <c r="D39" s="3" t="s">
        <v>314</v>
      </c>
      <c r="E39" s="3" t="s">
        <v>501</v>
      </c>
      <c r="F39" s="3" t="s">
        <v>502</v>
      </c>
      <c r="G39" s="23" t="s">
        <v>503</v>
      </c>
      <c r="H39" s="3" t="s">
        <v>183</v>
      </c>
      <c r="I39" s="3" t="s">
        <v>152</v>
      </c>
      <c r="J39" s="3" t="s">
        <v>504</v>
      </c>
      <c r="K39" s="3" t="s">
        <v>505</v>
      </c>
      <c r="L39" s="3">
        <v>2004.0</v>
      </c>
      <c r="M39" s="3" t="s">
        <v>45</v>
      </c>
      <c r="N39" s="3" t="s">
        <v>46</v>
      </c>
      <c r="O39" s="3"/>
      <c r="P39" s="3"/>
      <c r="Q39" s="12" t="s">
        <v>506</v>
      </c>
      <c r="R39" s="3" t="s">
        <v>432</v>
      </c>
      <c r="S39" s="3">
        <v>16.0</v>
      </c>
      <c r="T39" s="3">
        <v>21.0</v>
      </c>
      <c r="U39" s="3" t="s">
        <v>507</v>
      </c>
      <c r="V39" s="3" t="s">
        <v>508</v>
      </c>
      <c r="W39" s="3" t="s">
        <v>509</v>
      </c>
      <c r="X39" s="7" t="s">
        <v>256</v>
      </c>
      <c r="Y39" s="7" t="s">
        <v>510</v>
      </c>
      <c r="Z39" s="3" t="s">
        <v>356</v>
      </c>
      <c r="AA39" s="3"/>
      <c r="AB39" s="3" t="s">
        <v>152</v>
      </c>
      <c r="AC39" s="3"/>
      <c r="AD39" s="5" t="s">
        <v>511</v>
      </c>
      <c r="AE39" s="3" t="s">
        <v>512</v>
      </c>
      <c r="AF39" s="7" t="s">
        <v>121</v>
      </c>
      <c r="AG39" s="7" t="s">
        <v>513</v>
      </c>
      <c r="AH39" s="8" t="s">
        <v>58</v>
      </c>
      <c r="AI39" s="7"/>
    </row>
    <row r="40" ht="18.0" customHeight="1">
      <c r="A40" s="3">
        <v>39.0</v>
      </c>
      <c r="B40" s="3" t="str">
        <f t="shared" si="3"/>
        <v>Hayatbakhsh et al 2009</v>
      </c>
      <c r="C40" s="3" t="s">
        <v>514</v>
      </c>
      <c r="D40" s="3" t="s">
        <v>314</v>
      </c>
      <c r="E40" s="3" t="s">
        <v>515</v>
      </c>
      <c r="F40" s="3" t="s">
        <v>516</v>
      </c>
      <c r="G40" s="3" t="s">
        <v>517</v>
      </c>
      <c r="H40" s="3" t="s">
        <v>183</v>
      </c>
      <c r="I40" s="3" t="s">
        <v>152</v>
      </c>
      <c r="J40" s="3" t="s">
        <v>518</v>
      </c>
      <c r="K40" s="3" t="s">
        <v>519</v>
      </c>
      <c r="L40" s="3">
        <v>2009.0</v>
      </c>
      <c r="M40" s="3" t="s">
        <v>45</v>
      </c>
      <c r="N40" s="3" t="s">
        <v>46</v>
      </c>
      <c r="O40" s="3"/>
      <c r="P40" s="3"/>
      <c r="Q40" s="12" t="s">
        <v>481</v>
      </c>
      <c r="R40" s="3" t="s">
        <v>432</v>
      </c>
      <c r="S40" s="3">
        <v>0.0</v>
      </c>
      <c r="T40" s="3">
        <v>0.0</v>
      </c>
      <c r="U40" s="3" t="s">
        <v>520</v>
      </c>
      <c r="V40" s="3" t="s">
        <v>521</v>
      </c>
      <c r="W40" s="3" t="s">
        <v>522</v>
      </c>
      <c r="X40" s="7" t="s">
        <v>256</v>
      </c>
      <c r="Y40" s="7" t="s">
        <v>523</v>
      </c>
      <c r="Z40" s="3" t="s">
        <v>86</v>
      </c>
      <c r="AA40" s="3"/>
      <c r="AB40" s="3"/>
      <c r="AC40" s="3" t="s">
        <v>152</v>
      </c>
      <c r="AD40" s="5" t="s">
        <v>524</v>
      </c>
      <c r="AE40" s="3" t="s">
        <v>56</v>
      </c>
      <c r="AF40" s="7" t="s">
        <v>121</v>
      </c>
      <c r="AG40" s="7" t="s">
        <v>525</v>
      </c>
      <c r="AH40" s="8" t="s">
        <v>58</v>
      </c>
      <c r="AI40" s="7"/>
    </row>
    <row r="41" ht="18.0" customHeight="1">
      <c r="A41" s="3">
        <v>40.0</v>
      </c>
      <c r="B41" s="3" t="str">
        <f t="shared" si="3"/>
        <v>Compton et al 2013</v>
      </c>
      <c r="C41" s="3" t="s">
        <v>526</v>
      </c>
      <c r="D41" s="3" t="s">
        <v>225</v>
      </c>
      <c r="E41" s="3" t="s">
        <v>527</v>
      </c>
      <c r="F41" s="3" t="s">
        <v>528</v>
      </c>
      <c r="G41" s="3" t="s">
        <v>529</v>
      </c>
      <c r="H41" s="3" t="s">
        <v>183</v>
      </c>
      <c r="I41" s="3" t="s">
        <v>152</v>
      </c>
      <c r="J41" s="21" t="s">
        <v>530</v>
      </c>
      <c r="K41" s="3" t="s">
        <v>531</v>
      </c>
      <c r="L41" s="3">
        <v>2013.0</v>
      </c>
      <c r="M41" s="3" t="s">
        <v>45</v>
      </c>
      <c r="N41" s="3" t="s">
        <v>46</v>
      </c>
      <c r="O41" s="3"/>
      <c r="P41" s="3"/>
      <c r="Q41" s="6" t="s">
        <v>47</v>
      </c>
      <c r="R41" s="3" t="s">
        <v>432</v>
      </c>
      <c r="S41" s="3" t="s">
        <v>532</v>
      </c>
      <c r="T41" s="3" t="s">
        <v>532</v>
      </c>
      <c r="U41" s="6">
        <v>0.534</v>
      </c>
      <c r="V41" s="3" t="s">
        <v>232</v>
      </c>
      <c r="W41" s="3" t="s">
        <v>533</v>
      </c>
      <c r="X41" s="7" t="s">
        <v>534</v>
      </c>
      <c r="Y41" s="7" t="s">
        <v>233</v>
      </c>
      <c r="Z41" s="3" t="s">
        <v>174</v>
      </c>
      <c r="AA41" s="3" t="s">
        <v>152</v>
      </c>
      <c r="AB41" s="3" t="s">
        <v>152</v>
      </c>
      <c r="AC41" s="3"/>
      <c r="AD41" s="5" t="s">
        <v>535</v>
      </c>
      <c r="AE41" s="3" t="s">
        <v>536</v>
      </c>
      <c r="AF41" s="7" t="s">
        <v>57</v>
      </c>
      <c r="AG41" s="7" t="s">
        <v>537</v>
      </c>
      <c r="AH41" s="8" t="s">
        <v>58</v>
      </c>
      <c r="AI41" s="7"/>
    </row>
    <row r="42" ht="18.0" customHeight="1">
      <c r="A42" s="3">
        <v>41.0</v>
      </c>
      <c r="B42" s="3" t="str">
        <f t="shared" si="3"/>
        <v>McCarty et al 2012</v>
      </c>
      <c r="C42" s="10" t="s">
        <v>538</v>
      </c>
      <c r="D42" s="21" t="s">
        <v>369</v>
      </c>
      <c r="E42" s="3" t="s">
        <v>539</v>
      </c>
      <c r="F42" s="3" t="s">
        <v>540</v>
      </c>
      <c r="G42" s="3" t="s">
        <v>541</v>
      </c>
      <c r="H42" s="3" t="s">
        <v>183</v>
      </c>
      <c r="I42" s="3" t="s">
        <v>184</v>
      </c>
      <c r="J42" s="3" t="s">
        <v>542</v>
      </c>
      <c r="K42" s="5" t="s">
        <v>543</v>
      </c>
      <c r="L42" s="5">
        <v>2012.0</v>
      </c>
      <c r="M42" s="5" t="s">
        <v>45</v>
      </c>
      <c r="N42" s="3" t="s">
        <v>113</v>
      </c>
      <c r="O42" s="3" t="s">
        <v>544</v>
      </c>
      <c r="P42" s="3" t="s">
        <v>152</v>
      </c>
      <c r="Q42" s="6" t="s">
        <v>47</v>
      </c>
      <c r="R42" s="5" t="s">
        <v>445</v>
      </c>
      <c r="S42" s="5" t="s">
        <v>545</v>
      </c>
      <c r="T42" s="5" t="s">
        <v>545</v>
      </c>
      <c r="U42" s="6">
        <v>0.483</v>
      </c>
      <c r="V42" s="13" t="s">
        <v>546</v>
      </c>
      <c r="W42" s="17" t="s">
        <v>69</v>
      </c>
      <c r="X42" s="5" t="s">
        <v>52</v>
      </c>
      <c r="Y42" s="8" t="s">
        <v>547</v>
      </c>
      <c r="Z42" s="5" t="s">
        <v>356</v>
      </c>
      <c r="AA42" s="5"/>
      <c r="AB42" s="5" t="s">
        <v>184</v>
      </c>
      <c r="AC42" s="5"/>
      <c r="AD42" s="5" t="s">
        <v>548</v>
      </c>
      <c r="AE42" s="5" t="s">
        <v>549</v>
      </c>
      <c r="AF42" s="16" t="s">
        <v>57</v>
      </c>
      <c r="AG42" s="8"/>
      <c r="AH42" s="8" t="s">
        <v>58</v>
      </c>
      <c r="AI42" s="8"/>
    </row>
    <row r="43" ht="18.0" customHeight="1">
      <c r="A43" s="3">
        <v>42.0</v>
      </c>
      <c r="B43" s="3" t="str">
        <f t="shared" si="3"/>
        <v>Jones et al 2013</v>
      </c>
      <c r="C43" s="3" t="s">
        <v>550</v>
      </c>
      <c r="D43" s="10" t="s">
        <v>369</v>
      </c>
      <c r="E43" s="3" t="s">
        <v>551</v>
      </c>
      <c r="F43" s="3" t="s">
        <v>552</v>
      </c>
      <c r="G43" s="3" t="s">
        <v>553</v>
      </c>
      <c r="H43" s="3" t="s">
        <v>97</v>
      </c>
      <c r="I43" s="3" t="s">
        <v>184</v>
      </c>
      <c r="J43" s="3" t="s">
        <v>554</v>
      </c>
      <c r="K43" s="5" t="s">
        <v>555</v>
      </c>
      <c r="L43" s="3">
        <v>2013.0</v>
      </c>
      <c r="M43" s="3" t="s">
        <v>45</v>
      </c>
      <c r="N43" s="3" t="s">
        <v>113</v>
      </c>
      <c r="O43" s="3" t="s">
        <v>556</v>
      </c>
      <c r="P43" s="3" t="s">
        <v>79</v>
      </c>
      <c r="Q43" s="6" t="s">
        <v>431</v>
      </c>
      <c r="R43" s="3" t="s">
        <v>432</v>
      </c>
      <c r="S43" s="3" t="s">
        <v>557</v>
      </c>
      <c r="T43" s="3" t="s">
        <v>557</v>
      </c>
      <c r="U43" s="12">
        <v>0.24</v>
      </c>
      <c r="V43" s="3" t="s">
        <v>83</v>
      </c>
      <c r="W43" s="7" t="s">
        <v>558</v>
      </c>
      <c r="X43" s="17" t="s">
        <v>52</v>
      </c>
      <c r="Y43" s="10" t="s">
        <v>559</v>
      </c>
      <c r="Z43" s="10" t="s">
        <v>54</v>
      </c>
      <c r="AA43" s="10" t="s">
        <v>184</v>
      </c>
      <c r="AB43" s="10"/>
      <c r="AC43" s="10"/>
      <c r="AD43" s="5" t="s">
        <v>560</v>
      </c>
      <c r="AE43" s="3" t="s">
        <v>56</v>
      </c>
      <c r="AF43" s="16" t="s">
        <v>57</v>
      </c>
      <c r="AG43" s="22"/>
      <c r="AH43" s="8" t="s">
        <v>58</v>
      </c>
      <c r="AI43" s="7"/>
    </row>
    <row r="44" ht="18.0" customHeight="1">
      <c r="A44" s="3">
        <v>43.0</v>
      </c>
      <c r="B44" s="3" t="str">
        <f t="shared" si="3"/>
        <v>Tucker et al 2015</v>
      </c>
      <c r="C44" s="3" t="s">
        <v>224</v>
      </c>
      <c r="D44" s="10" t="s">
        <v>561</v>
      </c>
      <c r="E44" s="3" t="s">
        <v>562</v>
      </c>
      <c r="F44" s="3" t="s">
        <v>563</v>
      </c>
      <c r="G44" s="3" t="s">
        <v>564</v>
      </c>
      <c r="H44" s="3" t="s">
        <v>183</v>
      </c>
      <c r="I44" s="3" t="s">
        <v>184</v>
      </c>
      <c r="J44" s="3" t="s">
        <v>565</v>
      </c>
      <c r="K44" s="3" t="s">
        <v>566</v>
      </c>
      <c r="L44" s="3">
        <v>2015.0</v>
      </c>
      <c r="M44" s="3" t="s">
        <v>45</v>
      </c>
      <c r="N44" s="3" t="s">
        <v>46</v>
      </c>
      <c r="O44" s="3"/>
      <c r="P44" s="3"/>
      <c r="Q44" s="6" t="s">
        <v>47</v>
      </c>
      <c r="R44" s="3" t="s">
        <v>432</v>
      </c>
      <c r="S44" s="3" t="s">
        <v>567</v>
      </c>
      <c r="T44" s="3" t="s">
        <v>567</v>
      </c>
      <c r="U44" s="6">
        <v>0.5074</v>
      </c>
      <c r="V44" s="3" t="s">
        <v>83</v>
      </c>
      <c r="W44" s="10" t="s">
        <v>69</v>
      </c>
      <c r="X44" s="3" t="s">
        <v>52</v>
      </c>
      <c r="Y44" s="7" t="s">
        <v>568</v>
      </c>
      <c r="Z44" s="3" t="s">
        <v>86</v>
      </c>
      <c r="AA44" s="3"/>
      <c r="AB44" s="3"/>
      <c r="AC44" s="3" t="s">
        <v>184</v>
      </c>
      <c r="AD44" s="5" t="s">
        <v>569</v>
      </c>
      <c r="AE44" s="3" t="s">
        <v>56</v>
      </c>
      <c r="AF44" s="16" t="s">
        <v>57</v>
      </c>
      <c r="AG44" s="7"/>
      <c r="AH44" s="8" t="s">
        <v>58</v>
      </c>
      <c r="AI44" s="7"/>
    </row>
    <row r="45" ht="18.0" customHeight="1">
      <c r="A45" s="3">
        <v>44.0</v>
      </c>
      <c r="B45" s="3" t="str">
        <f t="shared" si="3"/>
        <v>Schuckit et al 2013</v>
      </c>
      <c r="C45" s="3" t="s">
        <v>570</v>
      </c>
      <c r="D45" s="10" t="s">
        <v>571</v>
      </c>
      <c r="E45" s="3" t="s">
        <v>572</v>
      </c>
      <c r="F45" s="3" t="s">
        <v>573</v>
      </c>
      <c r="G45" s="3" t="s">
        <v>574</v>
      </c>
      <c r="H45" s="3" t="s">
        <v>183</v>
      </c>
      <c r="I45" s="10" t="s">
        <v>184</v>
      </c>
      <c r="J45" s="3" t="s">
        <v>575</v>
      </c>
      <c r="K45" s="5" t="s">
        <v>576</v>
      </c>
      <c r="L45" s="3">
        <v>2013.0</v>
      </c>
      <c r="M45" s="3" t="s">
        <v>45</v>
      </c>
      <c r="N45" s="10" t="s">
        <v>113</v>
      </c>
      <c r="O45" s="10" t="s">
        <v>577</v>
      </c>
      <c r="P45" s="10" t="s">
        <v>184</v>
      </c>
      <c r="Q45" s="6" t="s">
        <v>47</v>
      </c>
      <c r="R45" s="3" t="s">
        <v>432</v>
      </c>
      <c r="S45" s="3">
        <v>18.0</v>
      </c>
      <c r="T45" s="3">
        <v>25.0</v>
      </c>
      <c r="U45" s="3" t="s">
        <v>244</v>
      </c>
      <c r="V45" s="5" t="s">
        <v>578</v>
      </c>
      <c r="W45" s="7" t="s">
        <v>579</v>
      </c>
      <c r="X45" s="3" t="s">
        <v>52</v>
      </c>
      <c r="Y45" s="7" t="s">
        <v>580</v>
      </c>
      <c r="Z45" s="3" t="s">
        <v>54</v>
      </c>
      <c r="AA45" s="3" t="s">
        <v>184</v>
      </c>
      <c r="AB45" s="3"/>
      <c r="AC45" s="7"/>
      <c r="AD45" s="13" t="s">
        <v>581</v>
      </c>
      <c r="AE45" s="3" t="s">
        <v>207</v>
      </c>
      <c r="AF45" s="16" t="s">
        <v>57</v>
      </c>
      <c r="AG45" s="7" t="s">
        <v>582</v>
      </c>
      <c r="AH45" s="8" t="s">
        <v>58</v>
      </c>
      <c r="AI45" s="7"/>
    </row>
    <row r="46" ht="18.0" customHeight="1">
      <c r="A46" s="3">
        <v>45.0</v>
      </c>
      <c r="B46" s="3" t="str">
        <f t="shared" si="3"/>
        <v>Korhonen et al 2008</v>
      </c>
      <c r="C46" s="3" t="s">
        <v>445</v>
      </c>
      <c r="D46" s="3" t="s">
        <v>75</v>
      </c>
      <c r="E46" s="3" t="s">
        <v>583</v>
      </c>
      <c r="F46" s="3" t="s">
        <v>584</v>
      </c>
      <c r="G46" s="3" t="s">
        <v>585</v>
      </c>
      <c r="H46" s="3" t="s">
        <v>183</v>
      </c>
      <c r="I46" s="3" t="s">
        <v>65</v>
      </c>
      <c r="J46" s="3" t="s">
        <v>586</v>
      </c>
      <c r="K46" s="3" t="s">
        <v>587</v>
      </c>
      <c r="L46" s="3">
        <v>2008.0</v>
      </c>
      <c r="M46" s="3" t="s">
        <v>45</v>
      </c>
      <c r="N46" s="3" t="s">
        <v>46</v>
      </c>
      <c r="O46" s="3"/>
      <c r="P46" s="3"/>
      <c r="Q46" s="12" t="s">
        <v>456</v>
      </c>
      <c r="R46" s="3" t="s">
        <v>432</v>
      </c>
      <c r="S46" s="3">
        <v>11.0</v>
      </c>
      <c r="T46" s="3">
        <v>12.0</v>
      </c>
      <c r="U46" s="3" t="s">
        <v>588</v>
      </c>
      <c r="V46" s="3" t="s">
        <v>589</v>
      </c>
      <c r="W46" s="3" t="s">
        <v>203</v>
      </c>
      <c r="X46" s="7" t="s">
        <v>52</v>
      </c>
      <c r="Y46" s="7" t="s">
        <v>590</v>
      </c>
      <c r="Z46" s="3" t="s">
        <v>174</v>
      </c>
      <c r="AA46" s="3" t="s">
        <v>184</v>
      </c>
      <c r="AB46" s="3" t="s">
        <v>152</v>
      </c>
      <c r="AC46" s="7"/>
      <c r="AD46" s="3" t="s">
        <v>591</v>
      </c>
      <c r="AE46" s="3" t="s">
        <v>56</v>
      </c>
      <c r="AF46" s="7" t="s">
        <v>121</v>
      </c>
      <c r="AG46" s="7" t="s">
        <v>592</v>
      </c>
      <c r="AH46" s="7" t="s">
        <v>58</v>
      </c>
      <c r="AI46" s="7"/>
    </row>
    <row r="47" ht="18.0" customHeight="1">
      <c r="A47" s="3">
        <v>46.0</v>
      </c>
      <c r="B47" s="3" t="str">
        <f t="shared" si="3"/>
        <v>Niemelä et al 2008</v>
      </c>
      <c r="C47" s="3" t="s">
        <v>593</v>
      </c>
      <c r="D47" s="3" t="s">
        <v>594</v>
      </c>
      <c r="E47" s="3" t="s">
        <v>595</v>
      </c>
      <c r="F47" s="3" t="s">
        <v>596</v>
      </c>
      <c r="G47" s="3" t="s">
        <v>597</v>
      </c>
      <c r="H47" s="3" t="s">
        <v>183</v>
      </c>
      <c r="I47" s="3" t="s">
        <v>152</v>
      </c>
      <c r="J47" s="3" t="s">
        <v>598</v>
      </c>
      <c r="K47" s="3" t="s">
        <v>599</v>
      </c>
      <c r="L47" s="3">
        <v>2008.0</v>
      </c>
      <c r="M47" s="3" t="s">
        <v>45</v>
      </c>
      <c r="N47" s="3" t="s">
        <v>46</v>
      </c>
      <c r="O47" s="3"/>
      <c r="P47" s="3"/>
      <c r="Q47" s="6" t="s">
        <v>456</v>
      </c>
      <c r="R47" s="3" t="s">
        <v>432</v>
      </c>
      <c r="S47" s="3">
        <v>8.0</v>
      </c>
      <c r="T47" s="3">
        <v>8.0</v>
      </c>
      <c r="U47" s="12">
        <v>0.0</v>
      </c>
      <c r="V47" s="3" t="s">
        <v>600</v>
      </c>
      <c r="W47" s="7" t="s">
        <v>601</v>
      </c>
      <c r="X47" s="7" t="s">
        <v>602</v>
      </c>
      <c r="Y47" s="3" t="s">
        <v>603</v>
      </c>
      <c r="Z47" s="3" t="s">
        <v>174</v>
      </c>
      <c r="AA47" s="3" t="s">
        <v>152</v>
      </c>
      <c r="AB47" s="3" t="s">
        <v>152</v>
      </c>
      <c r="AC47" s="7"/>
      <c r="AD47" s="5" t="s">
        <v>604</v>
      </c>
      <c r="AE47" s="3" t="s">
        <v>56</v>
      </c>
      <c r="AF47" s="7" t="s">
        <v>121</v>
      </c>
      <c r="AG47" s="7" t="s">
        <v>605</v>
      </c>
      <c r="AH47" s="8" t="s">
        <v>58</v>
      </c>
      <c r="AI47" s="7"/>
    </row>
    <row r="48" ht="18.0" customHeight="1">
      <c r="A48" s="3">
        <v>47.0</v>
      </c>
      <c r="B48" s="3" t="str">
        <f t="shared" si="3"/>
        <v>Brière et al 2012</v>
      </c>
      <c r="C48" s="3" t="s">
        <v>178</v>
      </c>
      <c r="D48" s="3" t="s">
        <v>294</v>
      </c>
      <c r="E48" s="3" t="s">
        <v>606</v>
      </c>
      <c r="F48" s="3" t="s">
        <v>607</v>
      </c>
      <c r="G48" s="3" t="s">
        <v>608</v>
      </c>
      <c r="H48" s="3" t="s">
        <v>97</v>
      </c>
      <c r="I48" s="3" t="s">
        <v>79</v>
      </c>
      <c r="J48" s="3" t="s">
        <v>609</v>
      </c>
      <c r="K48" s="3" t="s">
        <v>610</v>
      </c>
      <c r="L48" s="3">
        <v>2012.0</v>
      </c>
      <c r="M48" s="3" t="s">
        <v>45</v>
      </c>
      <c r="N48" s="3" t="s">
        <v>46</v>
      </c>
      <c r="O48" s="3"/>
      <c r="P48" s="3"/>
      <c r="Q48" s="12" t="s">
        <v>431</v>
      </c>
      <c r="R48" s="3" t="s">
        <v>178</v>
      </c>
      <c r="S48" s="3">
        <v>15.0</v>
      </c>
      <c r="T48" s="3">
        <v>16.0</v>
      </c>
      <c r="U48" s="6">
        <v>0.544</v>
      </c>
      <c r="V48" s="3" t="s">
        <v>83</v>
      </c>
      <c r="W48" s="3" t="s">
        <v>611</v>
      </c>
      <c r="X48" s="7" t="s">
        <v>52</v>
      </c>
      <c r="Y48" s="7" t="s">
        <v>53</v>
      </c>
      <c r="Z48" s="3" t="s">
        <v>54</v>
      </c>
      <c r="AA48" s="3" t="s">
        <v>79</v>
      </c>
      <c r="AB48" s="3"/>
      <c r="AC48" s="3"/>
      <c r="AD48" s="5" t="s">
        <v>612</v>
      </c>
      <c r="AE48" s="3" t="s">
        <v>56</v>
      </c>
      <c r="AF48" s="7" t="s">
        <v>57</v>
      </c>
      <c r="AG48" s="7" t="s">
        <v>613</v>
      </c>
      <c r="AH48" s="8" t="s">
        <v>58</v>
      </c>
      <c r="AI48" s="7"/>
    </row>
    <row r="49" ht="18.0" customHeight="1">
      <c r="A49" s="3">
        <v>48.0</v>
      </c>
      <c r="B49" s="3" t="s">
        <v>614</v>
      </c>
      <c r="C49" s="3" t="s">
        <v>615</v>
      </c>
      <c r="D49" s="3" t="s">
        <v>616</v>
      </c>
      <c r="E49" s="3" t="s">
        <v>617</v>
      </c>
      <c r="F49" s="3" t="s">
        <v>618</v>
      </c>
      <c r="G49" s="3" t="s">
        <v>619</v>
      </c>
      <c r="H49" s="3" t="s">
        <v>41</v>
      </c>
      <c r="I49" s="3" t="s">
        <v>152</v>
      </c>
      <c r="J49" s="3" t="s">
        <v>620</v>
      </c>
      <c r="K49" s="3" t="s">
        <v>621</v>
      </c>
      <c r="L49" s="3">
        <v>2004.0</v>
      </c>
      <c r="M49" s="3" t="s">
        <v>45</v>
      </c>
      <c r="N49" s="3" t="s">
        <v>46</v>
      </c>
      <c r="O49" s="3"/>
      <c r="P49" s="3"/>
      <c r="Q49" s="6" t="s">
        <v>622</v>
      </c>
      <c r="R49" s="3" t="s">
        <v>178</v>
      </c>
      <c r="S49" s="3">
        <v>10.0</v>
      </c>
      <c r="T49" s="3">
        <v>17.0</v>
      </c>
      <c r="U49" s="12">
        <v>0.55</v>
      </c>
      <c r="V49" s="3" t="s">
        <v>623</v>
      </c>
      <c r="W49" s="3" t="s">
        <v>624</v>
      </c>
      <c r="X49" s="3" t="s">
        <v>52</v>
      </c>
      <c r="Y49" s="7" t="s">
        <v>625</v>
      </c>
      <c r="Z49" s="3" t="s">
        <v>174</v>
      </c>
      <c r="AA49" s="3" t="s">
        <v>152</v>
      </c>
      <c r="AB49" s="3" t="s">
        <v>152</v>
      </c>
      <c r="AC49" s="3"/>
      <c r="AD49" s="3" t="s">
        <v>626</v>
      </c>
      <c r="AE49" s="3" t="s">
        <v>627</v>
      </c>
      <c r="AF49" s="7" t="s">
        <v>121</v>
      </c>
      <c r="AG49" s="7" t="s">
        <v>628</v>
      </c>
      <c r="AH49" s="7" t="s">
        <v>209</v>
      </c>
      <c r="AI49" s="7"/>
    </row>
    <row r="50" ht="18.0" customHeight="1">
      <c r="A50" s="3">
        <v>49.0</v>
      </c>
      <c r="B50" s="3" t="str">
        <f t="shared" ref="B50:B51" si="4">LEFT(J50,FIND(" ",J50)-1) &amp; " et al " &amp; L50</f>
        <v>Huizink et al 2006</v>
      </c>
      <c r="C50" s="3" t="s">
        <v>178</v>
      </c>
      <c r="D50" s="3" t="s">
        <v>629</v>
      </c>
      <c r="E50" s="3" t="s">
        <v>630</v>
      </c>
      <c r="F50" s="3" t="s">
        <v>631</v>
      </c>
      <c r="G50" s="3" t="s">
        <v>632</v>
      </c>
      <c r="H50" s="3" t="s">
        <v>183</v>
      </c>
      <c r="I50" s="3" t="s">
        <v>152</v>
      </c>
      <c r="J50" s="3" t="s">
        <v>633</v>
      </c>
      <c r="K50" s="3" t="s">
        <v>634</v>
      </c>
      <c r="L50" s="3">
        <v>2006.0</v>
      </c>
      <c r="M50" s="3" t="s">
        <v>45</v>
      </c>
      <c r="N50" s="3" t="s">
        <v>46</v>
      </c>
      <c r="O50" s="3"/>
      <c r="P50" s="3"/>
      <c r="Q50" s="12" t="s">
        <v>635</v>
      </c>
      <c r="R50" s="3" t="s">
        <v>178</v>
      </c>
      <c r="S50" s="3">
        <v>4.0</v>
      </c>
      <c r="T50" s="3">
        <v>17.0</v>
      </c>
      <c r="U50" s="6">
        <v>0.511</v>
      </c>
      <c r="V50" s="3" t="s">
        <v>83</v>
      </c>
      <c r="W50" s="3" t="s">
        <v>636</v>
      </c>
      <c r="X50" s="3" t="s">
        <v>637</v>
      </c>
      <c r="Y50" s="7" t="s">
        <v>638</v>
      </c>
      <c r="Z50" s="3" t="s">
        <v>86</v>
      </c>
      <c r="AA50" s="3"/>
      <c r="AB50" s="3"/>
      <c r="AC50" s="3" t="s">
        <v>152</v>
      </c>
      <c r="AD50" s="5" t="s">
        <v>639</v>
      </c>
      <c r="AE50" s="3" t="s">
        <v>56</v>
      </c>
      <c r="AF50" s="8" t="s">
        <v>121</v>
      </c>
      <c r="AG50" s="7" t="s">
        <v>640</v>
      </c>
      <c r="AH50" s="8" t="s">
        <v>58</v>
      </c>
      <c r="AI50" s="7"/>
    </row>
    <row r="51" ht="18.0" customHeight="1">
      <c r="A51" s="3">
        <v>50.0</v>
      </c>
      <c r="B51" s="3" t="str">
        <f t="shared" si="4"/>
        <v>George et al 2013</v>
      </c>
      <c r="C51" s="3" t="s">
        <v>178</v>
      </c>
      <c r="D51" s="3" t="s">
        <v>164</v>
      </c>
      <c r="E51" s="3" t="s">
        <v>641</v>
      </c>
      <c r="F51" s="3" t="s">
        <v>642</v>
      </c>
      <c r="G51" s="3" t="s">
        <v>643</v>
      </c>
      <c r="H51" s="3" t="s">
        <v>97</v>
      </c>
      <c r="I51" s="3" t="s">
        <v>184</v>
      </c>
      <c r="J51" s="3" t="s">
        <v>644</v>
      </c>
      <c r="K51" s="3" t="s">
        <v>645</v>
      </c>
      <c r="L51" s="3">
        <v>2013.0</v>
      </c>
      <c r="M51" s="3" t="s">
        <v>45</v>
      </c>
      <c r="N51" s="3" t="s">
        <v>46</v>
      </c>
      <c r="O51" s="3"/>
      <c r="P51" s="3"/>
      <c r="Q51" s="6" t="s">
        <v>481</v>
      </c>
      <c r="R51" s="3" t="s">
        <v>178</v>
      </c>
      <c r="S51" s="3">
        <v>24.0</v>
      </c>
      <c r="T51" s="3">
        <v>30.0</v>
      </c>
      <c r="U51" s="6">
        <v>0.526</v>
      </c>
      <c r="V51" s="3" t="s">
        <v>646</v>
      </c>
      <c r="W51" s="3" t="s">
        <v>647</v>
      </c>
      <c r="X51" s="7" t="s">
        <v>52</v>
      </c>
      <c r="Y51" s="7" t="s">
        <v>648</v>
      </c>
      <c r="Z51" s="3" t="s">
        <v>54</v>
      </c>
      <c r="AA51" s="3" t="s">
        <v>184</v>
      </c>
      <c r="AB51" s="3"/>
      <c r="AC51" s="3"/>
      <c r="AD51" s="5" t="s">
        <v>649</v>
      </c>
      <c r="AE51" s="3" t="s">
        <v>650</v>
      </c>
      <c r="AF51" s="7" t="s">
        <v>57</v>
      </c>
      <c r="AG51" s="7" t="s">
        <v>651</v>
      </c>
      <c r="AH51" s="8" t="s">
        <v>58</v>
      </c>
      <c r="AI51" s="7"/>
    </row>
    <row r="52" ht="18.0" customHeight="1">
      <c r="A52" s="3">
        <v>51.0</v>
      </c>
      <c r="B52" s="3" t="s">
        <v>652</v>
      </c>
      <c r="C52" s="3" t="s">
        <v>178</v>
      </c>
      <c r="D52" s="3" t="s">
        <v>653</v>
      </c>
      <c r="E52" s="3" t="s">
        <v>654</v>
      </c>
      <c r="F52" s="3" t="s">
        <v>655</v>
      </c>
      <c r="G52" s="3" t="s">
        <v>656</v>
      </c>
      <c r="H52" s="3" t="s">
        <v>41</v>
      </c>
      <c r="I52" s="3" t="s">
        <v>184</v>
      </c>
      <c r="J52" s="3" t="s">
        <v>657</v>
      </c>
      <c r="K52" s="3" t="s">
        <v>658</v>
      </c>
      <c r="L52" s="3">
        <v>2006.0</v>
      </c>
      <c r="M52" s="3" t="s">
        <v>45</v>
      </c>
      <c r="N52" s="3" t="s">
        <v>113</v>
      </c>
      <c r="O52" s="3" t="s">
        <v>659</v>
      </c>
      <c r="P52" s="3" t="s">
        <v>152</v>
      </c>
      <c r="Q52" s="12" t="s">
        <v>635</v>
      </c>
      <c r="R52" s="3" t="s">
        <v>178</v>
      </c>
      <c r="S52" s="3">
        <v>18.0</v>
      </c>
      <c r="T52" s="3">
        <v>35.0</v>
      </c>
      <c r="U52" s="12">
        <v>0.58</v>
      </c>
      <c r="V52" s="3" t="s">
        <v>660</v>
      </c>
      <c r="W52" s="3" t="s">
        <v>661</v>
      </c>
      <c r="X52" s="3" t="s">
        <v>52</v>
      </c>
      <c r="Y52" s="7" t="s">
        <v>662</v>
      </c>
      <c r="Z52" s="3" t="s">
        <v>54</v>
      </c>
      <c r="AA52" s="3" t="s">
        <v>184</v>
      </c>
      <c r="AB52" s="3"/>
      <c r="AC52" s="3"/>
      <c r="AD52" s="5" t="s">
        <v>663</v>
      </c>
      <c r="AE52" s="3" t="s">
        <v>56</v>
      </c>
      <c r="AF52" s="7" t="s">
        <v>121</v>
      </c>
      <c r="AG52" s="7" t="s">
        <v>664</v>
      </c>
      <c r="AH52" s="8" t="s">
        <v>58</v>
      </c>
      <c r="AI52" s="7"/>
    </row>
    <row r="53" ht="18.0" customHeight="1">
      <c r="A53" s="3">
        <v>52.0</v>
      </c>
      <c r="B53" s="3" t="str">
        <f t="shared" ref="B53:B61" si="5">LEFT(J53,FIND(" ",J53)-1) &amp; " et al " &amp; L53</f>
        <v>Alati et al 2008</v>
      </c>
      <c r="C53" s="3" t="s">
        <v>178</v>
      </c>
      <c r="D53" s="3" t="s">
        <v>314</v>
      </c>
      <c r="E53" s="3" t="s">
        <v>665</v>
      </c>
      <c r="F53" s="3" t="s">
        <v>666</v>
      </c>
      <c r="G53" s="3" t="s">
        <v>667</v>
      </c>
      <c r="H53" s="3" t="s">
        <v>183</v>
      </c>
      <c r="I53" s="3" t="s">
        <v>184</v>
      </c>
      <c r="J53" s="3" t="s">
        <v>668</v>
      </c>
      <c r="K53" s="3" t="s">
        <v>669</v>
      </c>
      <c r="L53" s="3">
        <v>2008.0</v>
      </c>
      <c r="M53" s="3" t="s">
        <v>45</v>
      </c>
      <c r="N53" s="3" t="s">
        <v>46</v>
      </c>
      <c r="O53" s="3"/>
      <c r="P53" s="3"/>
      <c r="Q53" s="6" t="s">
        <v>481</v>
      </c>
      <c r="R53" s="3" t="s">
        <v>178</v>
      </c>
      <c r="S53" s="3" t="s">
        <v>670</v>
      </c>
      <c r="T53" s="3" t="s">
        <v>670</v>
      </c>
      <c r="U53" s="3" t="s">
        <v>69</v>
      </c>
      <c r="V53" s="3" t="s">
        <v>521</v>
      </c>
      <c r="W53" s="7" t="s">
        <v>671</v>
      </c>
      <c r="X53" s="7" t="s">
        <v>637</v>
      </c>
      <c r="Y53" s="3" t="s">
        <v>672</v>
      </c>
      <c r="Z53" s="3" t="s">
        <v>86</v>
      </c>
      <c r="AA53" s="3"/>
      <c r="AB53" s="3"/>
      <c r="AC53" s="3" t="s">
        <v>184</v>
      </c>
      <c r="AD53" s="5" t="s">
        <v>673</v>
      </c>
      <c r="AE53" s="3" t="s">
        <v>56</v>
      </c>
      <c r="AF53" s="7" t="s">
        <v>121</v>
      </c>
      <c r="AG53" s="7" t="s">
        <v>674</v>
      </c>
      <c r="AH53" s="8" t="s">
        <v>58</v>
      </c>
      <c r="AI53" s="7"/>
    </row>
    <row r="54" ht="18.0" customHeight="1">
      <c r="A54" s="3">
        <v>53.0</v>
      </c>
      <c r="B54" s="3" t="str">
        <f t="shared" si="5"/>
        <v>Silver et al 2023</v>
      </c>
      <c r="C54" s="3" t="s">
        <v>675</v>
      </c>
      <c r="D54" s="3" t="s">
        <v>594</v>
      </c>
      <c r="E54" s="3" t="s">
        <v>676</v>
      </c>
      <c r="F54" s="3" t="s">
        <v>677</v>
      </c>
      <c r="G54" s="3" t="s">
        <v>678</v>
      </c>
      <c r="H54" s="3" t="s">
        <v>41</v>
      </c>
      <c r="I54" s="3" t="s">
        <v>42</v>
      </c>
      <c r="J54" s="3" t="s">
        <v>679</v>
      </c>
      <c r="K54" s="3" t="s">
        <v>680</v>
      </c>
      <c r="L54" s="3">
        <v>2023.0</v>
      </c>
      <c r="M54" s="3" t="s">
        <v>45</v>
      </c>
      <c r="N54" s="3" t="s">
        <v>46</v>
      </c>
      <c r="O54" s="3"/>
      <c r="P54" s="3"/>
      <c r="Q54" s="6" t="s">
        <v>47</v>
      </c>
      <c r="R54" s="3" t="s">
        <v>681</v>
      </c>
      <c r="S54" s="3">
        <v>15.0</v>
      </c>
      <c r="T54" s="3">
        <v>21.0</v>
      </c>
      <c r="U54" s="12">
        <v>0.49</v>
      </c>
      <c r="V54" s="3" t="s">
        <v>68</v>
      </c>
      <c r="W54" s="10" t="s">
        <v>69</v>
      </c>
      <c r="X54" s="7" t="s">
        <v>52</v>
      </c>
      <c r="Y54" s="7" t="s">
        <v>568</v>
      </c>
      <c r="Z54" s="3" t="s">
        <v>54</v>
      </c>
      <c r="AA54" s="3" t="s">
        <v>42</v>
      </c>
      <c r="AB54" s="3"/>
      <c r="AC54" s="3"/>
      <c r="AD54" s="5" t="s">
        <v>682</v>
      </c>
      <c r="AE54" s="3" t="s">
        <v>683</v>
      </c>
      <c r="AF54" s="7" t="s">
        <v>71</v>
      </c>
      <c r="AG54" s="7"/>
      <c r="AH54" s="8" t="s">
        <v>58</v>
      </c>
      <c r="AI54" s="7"/>
    </row>
    <row r="55" ht="18.0" customHeight="1">
      <c r="A55" s="3">
        <v>54.0</v>
      </c>
      <c r="B55" s="3" t="str">
        <f t="shared" si="5"/>
        <v>Kaertner et al 2021</v>
      </c>
      <c r="C55" s="3" t="s">
        <v>684</v>
      </c>
      <c r="D55" s="3" t="s">
        <v>685</v>
      </c>
      <c r="E55" s="3" t="s">
        <v>686</v>
      </c>
      <c r="F55" s="3" t="s">
        <v>687</v>
      </c>
      <c r="G55" s="3" t="s">
        <v>688</v>
      </c>
      <c r="H55" s="3" t="s">
        <v>97</v>
      </c>
      <c r="I55" s="3" t="s">
        <v>215</v>
      </c>
      <c r="J55" s="3" t="s">
        <v>689</v>
      </c>
      <c r="K55" s="3" t="s">
        <v>690</v>
      </c>
      <c r="L55" s="3">
        <v>2021.0</v>
      </c>
      <c r="M55" s="3" t="s">
        <v>45</v>
      </c>
      <c r="N55" s="3" t="s">
        <v>46</v>
      </c>
      <c r="O55" s="3"/>
      <c r="P55" s="3"/>
      <c r="Q55" s="12" t="s">
        <v>691</v>
      </c>
      <c r="R55" s="3" t="s">
        <v>681</v>
      </c>
      <c r="S55" s="3">
        <v>18.0</v>
      </c>
      <c r="T55" s="3" t="s">
        <v>410</v>
      </c>
      <c r="U55" s="6">
        <v>0.395</v>
      </c>
      <c r="V55" s="3" t="s">
        <v>83</v>
      </c>
      <c r="W55" s="3" t="s">
        <v>203</v>
      </c>
      <c r="X55" s="7" t="s">
        <v>52</v>
      </c>
      <c r="Y55" s="7" t="s">
        <v>692</v>
      </c>
      <c r="Z55" s="3" t="s">
        <v>174</v>
      </c>
      <c r="AA55" s="3" t="s">
        <v>215</v>
      </c>
      <c r="AB55" s="3" t="s">
        <v>215</v>
      </c>
      <c r="AC55" s="3"/>
      <c r="AD55" s="3" t="s">
        <v>693</v>
      </c>
      <c r="AE55" s="3" t="s">
        <v>694</v>
      </c>
      <c r="AF55" s="7" t="s">
        <v>71</v>
      </c>
      <c r="AG55" s="7" t="s">
        <v>695</v>
      </c>
      <c r="AH55" s="7" t="s">
        <v>58</v>
      </c>
      <c r="AI55" s="7"/>
    </row>
    <row r="56" ht="18.0" customHeight="1">
      <c r="A56" s="3">
        <v>55.0</v>
      </c>
      <c r="B56" s="3" t="str">
        <f t="shared" si="5"/>
        <v>Nygart et al 2022</v>
      </c>
      <c r="C56" s="3" t="s">
        <v>696</v>
      </c>
      <c r="D56" s="3" t="s">
        <v>697</v>
      </c>
      <c r="E56" s="3" t="s">
        <v>698</v>
      </c>
      <c r="F56" s="3" t="s">
        <v>699</v>
      </c>
      <c r="G56" s="3" t="s">
        <v>700</v>
      </c>
      <c r="H56" s="3" t="s">
        <v>97</v>
      </c>
      <c r="I56" s="3" t="s">
        <v>215</v>
      </c>
      <c r="J56" s="3" t="s">
        <v>701</v>
      </c>
      <c r="K56" s="3" t="s">
        <v>702</v>
      </c>
      <c r="L56" s="3">
        <v>2022.0</v>
      </c>
      <c r="M56" s="3" t="s">
        <v>45</v>
      </c>
      <c r="N56" s="3" t="s">
        <v>46</v>
      </c>
      <c r="O56" s="3"/>
      <c r="P56" s="3"/>
      <c r="Q56" s="3" t="s">
        <v>703</v>
      </c>
      <c r="R56" s="3" t="s">
        <v>681</v>
      </c>
      <c r="S56" s="3">
        <v>18.0</v>
      </c>
      <c r="T56" s="3" t="s">
        <v>410</v>
      </c>
      <c r="U56" s="6">
        <v>0.278</v>
      </c>
      <c r="V56" s="3" t="s">
        <v>83</v>
      </c>
      <c r="W56" s="7" t="s">
        <v>203</v>
      </c>
      <c r="X56" s="7" t="s">
        <v>52</v>
      </c>
      <c r="Y56" s="3" t="s">
        <v>704</v>
      </c>
      <c r="Z56" s="3" t="s">
        <v>174</v>
      </c>
      <c r="AA56" s="3" t="s">
        <v>215</v>
      </c>
      <c r="AB56" s="3" t="s">
        <v>215</v>
      </c>
      <c r="AC56" s="3"/>
      <c r="AD56" s="5" t="s">
        <v>705</v>
      </c>
      <c r="AE56" s="3" t="s">
        <v>706</v>
      </c>
      <c r="AF56" s="7" t="s">
        <v>71</v>
      </c>
      <c r="AG56" s="7" t="s">
        <v>707</v>
      </c>
      <c r="AH56" s="8" t="s">
        <v>58</v>
      </c>
      <c r="AI56" s="7"/>
    </row>
    <row r="57" ht="18.0" customHeight="1">
      <c r="A57" s="3">
        <v>56.0</v>
      </c>
      <c r="B57" s="3" t="str">
        <f t="shared" si="5"/>
        <v>Perkins et al 2022</v>
      </c>
      <c r="C57" s="3" t="s">
        <v>696</v>
      </c>
      <c r="D57" s="3" t="s">
        <v>697</v>
      </c>
      <c r="E57" s="3" t="s">
        <v>708</v>
      </c>
      <c r="F57" s="3" t="s">
        <v>709</v>
      </c>
      <c r="G57" s="3" t="s">
        <v>710</v>
      </c>
      <c r="H57" s="3" t="s">
        <v>97</v>
      </c>
      <c r="I57" s="3" t="s">
        <v>215</v>
      </c>
      <c r="J57" s="3" t="s">
        <v>711</v>
      </c>
      <c r="K57" s="3" t="s">
        <v>712</v>
      </c>
      <c r="L57" s="3">
        <v>2022.0</v>
      </c>
      <c r="M57" s="3" t="s">
        <v>45</v>
      </c>
      <c r="N57" s="3" t="s">
        <v>46</v>
      </c>
      <c r="O57" s="3"/>
      <c r="P57" s="3"/>
      <c r="Q57" s="12" t="s">
        <v>481</v>
      </c>
      <c r="R57" s="3" t="s">
        <v>681</v>
      </c>
      <c r="S57" s="3">
        <v>22.0</v>
      </c>
      <c r="T57" s="3">
        <v>64.0</v>
      </c>
      <c r="U57" s="6">
        <v>0.604</v>
      </c>
      <c r="V57" s="3" t="s">
        <v>83</v>
      </c>
      <c r="W57" s="3" t="s">
        <v>713</v>
      </c>
      <c r="X57" s="7" t="s">
        <v>714</v>
      </c>
      <c r="Y57" s="7" t="s">
        <v>715</v>
      </c>
      <c r="Z57" s="3" t="s">
        <v>86</v>
      </c>
      <c r="AA57" s="3"/>
      <c r="AB57" s="3"/>
      <c r="AC57" s="7" t="s">
        <v>215</v>
      </c>
      <c r="AD57" s="5" t="s">
        <v>716</v>
      </c>
      <c r="AE57" s="3" t="s">
        <v>717</v>
      </c>
      <c r="AF57" s="7" t="s">
        <v>71</v>
      </c>
      <c r="AG57" s="7" t="s">
        <v>718</v>
      </c>
      <c r="AH57" s="8" t="s">
        <v>58</v>
      </c>
      <c r="AI57" s="7"/>
    </row>
    <row r="58" ht="18.0" customHeight="1">
      <c r="A58" s="3">
        <v>57.0</v>
      </c>
      <c r="B58" s="3" t="str">
        <f t="shared" si="5"/>
        <v>Jiménez-Garrido et al 2020</v>
      </c>
      <c r="C58" s="10" t="s">
        <v>719</v>
      </c>
      <c r="D58" s="10" t="s">
        <v>720</v>
      </c>
      <c r="E58" s="3" t="s">
        <v>721</v>
      </c>
      <c r="F58" s="3" t="s">
        <v>722</v>
      </c>
      <c r="G58" s="3" t="s">
        <v>723</v>
      </c>
      <c r="H58" s="3" t="s">
        <v>97</v>
      </c>
      <c r="I58" s="10" t="s">
        <v>215</v>
      </c>
      <c r="J58" s="3" t="s">
        <v>724</v>
      </c>
      <c r="K58" s="13" t="s">
        <v>725</v>
      </c>
      <c r="L58" s="13">
        <v>2020.0</v>
      </c>
      <c r="M58" s="5" t="s">
        <v>45</v>
      </c>
      <c r="N58" s="3" t="s">
        <v>46</v>
      </c>
      <c r="O58" s="10"/>
      <c r="P58" s="10"/>
      <c r="Q58" s="24" t="s">
        <v>726</v>
      </c>
      <c r="R58" s="13" t="s">
        <v>681</v>
      </c>
      <c r="S58" s="13">
        <v>20.0</v>
      </c>
      <c r="T58" s="13">
        <v>65.0</v>
      </c>
      <c r="U58" s="12">
        <v>0.7</v>
      </c>
      <c r="V58" s="3" t="s">
        <v>83</v>
      </c>
      <c r="W58" s="13" t="s">
        <v>255</v>
      </c>
      <c r="X58" s="3" t="s">
        <v>52</v>
      </c>
      <c r="Y58" s="8" t="s">
        <v>727</v>
      </c>
      <c r="Z58" s="5" t="s">
        <v>54</v>
      </c>
      <c r="AA58" s="5" t="s">
        <v>215</v>
      </c>
      <c r="AB58" s="5"/>
      <c r="AC58" s="5"/>
      <c r="AD58" s="25" t="s">
        <v>728</v>
      </c>
      <c r="AE58" s="3" t="s">
        <v>729</v>
      </c>
      <c r="AF58" s="16" t="s">
        <v>57</v>
      </c>
      <c r="AG58" s="8" t="s">
        <v>730</v>
      </c>
      <c r="AH58" s="8" t="s">
        <v>58</v>
      </c>
      <c r="AI58" s="8"/>
    </row>
    <row r="59" ht="18.0" customHeight="1">
      <c r="A59" s="3">
        <v>58.0</v>
      </c>
      <c r="B59" s="3" t="str">
        <f t="shared" si="5"/>
        <v>Zeifman et al 2020</v>
      </c>
      <c r="C59" s="3" t="s">
        <v>696</v>
      </c>
      <c r="D59" s="3" t="s">
        <v>697</v>
      </c>
      <c r="E59" s="3" t="s">
        <v>731</v>
      </c>
      <c r="F59" s="3" t="s">
        <v>732</v>
      </c>
      <c r="G59" s="3" t="s">
        <v>733</v>
      </c>
      <c r="H59" s="3" t="s">
        <v>97</v>
      </c>
      <c r="I59" s="3" t="s">
        <v>215</v>
      </c>
      <c r="J59" s="3" t="s">
        <v>734</v>
      </c>
      <c r="K59" s="3" t="s">
        <v>735</v>
      </c>
      <c r="L59" s="3">
        <v>2020.0</v>
      </c>
      <c r="M59" s="3" t="s">
        <v>45</v>
      </c>
      <c r="N59" s="3" t="s">
        <v>113</v>
      </c>
      <c r="O59" s="3" t="s">
        <v>736</v>
      </c>
      <c r="P59" s="3" t="s">
        <v>215</v>
      </c>
      <c r="Q59" s="6" t="s">
        <v>691</v>
      </c>
      <c r="R59" s="3" t="s">
        <v>681</v>
      </c>
      <c r="S59" s="3">
        <v>18.0</v>
      </c>
      <c r="T59" s="3" t="s">
        <v>410</v>
      </c>
      <c r="U59" s="12">
        <v>0.41</v>
      </c>
      <c r="V59" s="3" t="s">
        <v>83</v>
      </c>
      <c r="W59" s="3" t="s">
        <v>203</v>
      </c>
      <c r="X59" s="3" t="s">
        <v>52</v>
      </c>
      <c r="Y59" s="7" t="s">
        <v>737</v>
      </c>
      <c r="Z59" s="3" t="s">
        <v>54</v>
      </c>
      <c r="AA59" s="3" t="s">
        <v>215</v>
      </c>
      <c r="AB59" s="3"/>
      <c r="AC59" s="3"/>
      <c r="AD59" s="5" t="s">
        <v>738</v>
      </c>
      <c r="AE59" s="3" t="s">
        <v>436</v>
      </c>
      <c r="AF59" s="7" t="s">
        <v>57</v>
      </c>
      <c r="AG59" s="7" t="s">
        <v>739</v>
      </c>
      <c r="AH59" s="8" t="s">
        <v>58</v>
      </c>
      <c r="AI59" s="7"/>
    </row>
    <row r="60" ht="18.0" customHeight="1">
      <c r="A60" s="3">
        <v>59.0</v>
      </c>
      <c r="B60" s="3" t="str">
        <f t="shared" si="5"/>
        <v>Rootman et al 2022</v>
      </c>
      <c r="C60" s="3" t="s">
        <v>740</v>
      </c>
      <c r="D60" s="3" t="s">
        <v>697</v>
      </c>
      <c r="E60" s="3" t="s">
        <v>741</v>
      </c>
      <c r="F60" s="3" t="s">
        <v>742</v>
      </c>
      <c r="G60" s="3" t="s">
        <v>743</v>
      </c>
      <c r="H60" s="3" t="s">
        <v>97</v>
      </c>
      <c r="I60" s="3" t="s">
        <v>215</v>
      </c>
      <c r="J60" s="3" t="s">
        <v>744</v>
      </c>
      <c r="K60" s="3" t="s">
        <v>745</v>
      </c>
      <c r="L60" s="3">
        <v>2022.0</v>
      </c>
      <c r="M60" s="3" t="s">
        <v>45</v>
      </c>
      <c r="N60" s="3" t="s">
        <v>46</v>
      </c>
      <c r="O60" s="3"/>
      <c r="P60" s="3"/>
      <c r="Q60" s="6" t="s">
        <v>746</v>
      </c>
      <c r="R60" s="3" t="s">
        <v>681</v>
      </c>
      <c r="S60" s="3">
        <v>18.0</v>
      </c>
      <c r="T60" s="3" t="s">
        <v>410</v>
      </c>
      <c r="U60" s="6">
        <v>0.294</v>
      </c>
      <c r="V60" s="3" t="s">
        <v>83</v>
      </c>
      <c r="W60" s="7" t="s">
        <v>203</v>
      </c>
      <c r="X60" s="7" t="s">
        <v>52</v>
      </c>
      <c r="Y60" s="3" t="s">
        <v>747</v>
      </c>
      <c r="Z60" s="3" t="s">
        <v>86</v>
      </c>
      <c r="AA60" s="3"/>
      <c r="AB60" s="3"/>
      <c r="AC60" s="3" t="s">
        <v>215</v>
      </c>
      <c r="AD60" s="5" t="s">
        <v>748</v>
      </c>
      <c r="AE60" s="3" t="s">
        <v>706</v>
      </c>
      <c r="AF60" s="7" t="s">
        <v>71</v>
      </c>
      <c r="AG60" s="7" t="s">
        <v>749</v>
      </c>
      <c r="AH60" s="8" t="s">
        <v>58</v>
      </c>
      <c r="AI60" s="7"/>
    </row>
    <row r="61" ht="18.0" customHeight="1">
      <c r="A61" s="3">
        <v>60.0</v>
      </c>
      <c r="B61" s="3" t="str">
        <f t="shared" si="5"/>
        <v>Mans et al 2021</v>
      </c>
      <c r="C61" s="3" t="s">
        <v>696</v>
      </c>
      <c r="D61" s="3" t="s">
        <v>369</v>
      </c>
      <c r="E61" s="3" t="s">
        <v>750</v>
      </c>
      <c r="F61" s="3" t="s">
        <v>751</v>
      </c>
      <c r="G61" s="3" t="s">
        <v>752</v>
      </c>
      <c r="H61" s="3" t="s">
        <v>97</v>
      </c>
      <c r="I61" s="3" t="s">
        <v>215</v>
      </c>
      <c r="J61" s="3" t="s">
        <v>753</v>
      </c>
      <c r="K61" s="3" t="s">
        <v>754</v>
      </c>
      <c r="L61" s="3">
        <v>2021.0</v>
      </c>
      <c r="M61" s="3" t="s">
        <v>45</v>
      </c>
      <c r="N61" s="3" t="s">
        <v>113</v>
      </c>
      <c r="O61" s="3" t="s">
        <v>755</v>
      </c>
      <c r="P61" s="3" t="s">
        <v>215</v>
      </c>
      <c r="Q61" s="12" t="s">
        <v>691</v>
      </c>
      <c r="R61" s="3" t="s">
        <v>681</v>
      </c>
      <c r="S61" s="3">
        <v>18.0</v>
      </c>
      <c r="T61" s="3" t="s">
        <v>410</v>
      </c>
      <c r="U61" s="6">
        <v>0.252</v>
      </c>
      <c r="V61" s="3" t="s">
        <v>83</v>
      </c>
      <c r="W61" s="3" t="s">
        <v>713</v>
      </c>
      <c r="X61" s="7" t="s">
        <v>52</v>
      </c>
      <c r="Y61" s="7" t="s">
        <v>756</v>
      </c>
      <c r="Z61" s="3" t="s">
        <v>54</v>
      </c>
      <c r="AA61" s="3" t="s">
        <v>215</v>
      </c>
      <c r="AB61" s="3"/>
      <c r="AC61" s="3"/>
      <c r="AD61" s="5" t="s">
        <v>757</v>
      </c>
      <c r="AE61" s="3" t="s">
        <v>706</v>
      </c>
      <c r="AF61" s="7" t="s">
        <v>71</v>
      </c>
      <c r="AG61" s="7" t="s">
        <v>758</v>
      </c>
      <c r="AH61" s="8" t="s">
        <v>58</v>
      </c>
      <c r="AI61" s="7"/>
    </row>
    <row r="62" ht="18.0" customHeight="1">
      <c r="A62" s="3">
        <v>61.0</v>
      </c>
      <c r="B62" s="3" t="s">
        <v>759</v>
      </c>
      <c r="C62" s="3" t="s">
        <v>760</v>
      </c>
      <c r="D62" s="3" t="s">
        <v>761</v>
      </c>
      <c r="E62" s="3" t="s">
        <v>762</v>
      </c>
      <c r="F62" s="3" t="s">
        <v>763</v>
      </c>
      <c r="G62" s="3" t="s">
        <v>764</v>
      </c>
      <c r="H62" s="3" t="s">
        <v>41</v>
      </c>
      <c r="I62" s="3" t="s">
        <v>42</v>
      </c>
      <c r="J62" s="3" t="s">
        <v>765</v>
      </c>
      <c r="K62" s="3" t="s">
        <v>766</v>
      </c>
      <c r="L62" s="3">
        <v>2007.0</v>
      </c>
      <c r="M62" s="3" t="s">
        <v>767</v>
      </c>
      <c r="N62" s="3" t="s">
        <v>46</v>
      </c>
      <c r="O62" s="3"/>
      <c r="P62" s="3"/>
      <c r="Q62" s="12" t="s">
        <v>47</v>
      </c>
      <c r="R62" s="3" t="s">
        <v>768</v>
      </c>
      <c r="S62" s="3">
        <v>12.0</v>
      </c>
      <c r="T62" s="3">
        <v>18.0</v>
      </c>
      <c r="U62" s="3" t="s">
        <v>82</v>
      </c>
      <c r="V62" s="3" t="s">
        <v>288</v>
      </c>
      <c r="W62" s="3" t="s">
        <v>255</v>
      </c>
      <c r="X62" s="7" t="s">
        <v>52</v>
      </c>
      <c r="Y62" s="7" t="s">
        <v>53</v>
      </c>
      <c r="Z62" s="3" t="s">
        <v>54</v>
      </c>
      <c r="AA62" s="3" t="s">
        <v>42</v>
      </c>
      <c r="AB62" s="3"/>
      <c r="AC62" s="3"/>
      <c r="AD62" s="5" t="s">
        <v>769</v>
      </c>
      <c r="AE62" s="3" t="s">
        <v>770</v>
      </c>
      <c r="AF62" s="7" t="s">
        <v>121</v>
      </c>
      <c r="AG62" s="7" t="s">
        <v>771</v>
      </c>
      <c r="AH62" s="8" t="s">
        <v>58</v>
      </c>
      <c r="AI62" s="7"/>
    </row>
    <row r="63" ht="18.0" customHeight="1">
      <c r="A63" s="3">
        <v>62.0</v>
      </c>
      <c r="B63" s="3" t="str">
        <f t="shared" ref="B63:B65" si="6">LEFT(J63,FIND(" ",J63)-1) &amp; " et al " &amp; L63</f>
        <v>Lieb et al 2002</v>
      </c>
      <c r="C63" s="3" t="s">
        <v>772</v>
      </c>
      <c r="D63" s="3" t="s">
        <v>164</v>
      </c>
      <c r="E63" s="3" t="s">
        <v>773</v>
      </c>
      <c r="F63" s="3" t="s">
        <v>774</v>
      </c>
      <c r="G63" s="3" t="s">
        <v>775</v>
      </c>
      <c r="H63" s="3" t="s">
        <v>41</v>
      </c>
      <c r="I63" s="3" t="s">
        <v>42</v>
      </c>
      <c r="J63" s="3" t="s">
        <v>776</v>
      </c>
      <c r="K63" s="3" t="s">
        <v>777</v>
      </c>
      <c r="L63" s="3">
        <v>2002.0</v>
      </c>
      <c r="M63" s="3" t="s">
        <v>767</v>
      </c>
      <c r="N63" s="3" t="s">
        <v>46</v>
      </c>
      <c r="O63" s="3"/>
      <c r="P63" s="3"/>
      <c r="Q63" s="6" t="s">
        <v>199</v>
      </c>
      <c r="R63" s="3" t="s">
        <v>768</v>
      </c>
      <c r="S63" s="3">
        <v>14.0</v>
      </c>
      <c r="T63" s="3">
        <v>24.0</v>
      </c>
      <c r="U63" s="3" t="s">
        <v>69</v>
      </c>
      <c r="V63" s="3" t="s">
        <v>778</v>
      </c>
      <c r="W63" s="7" t="s">
        <v>779</v>
      </c>
      <c r="X63" s="7" t="s">
        <v>780</v>
      </c>
      <c r="Y63" s="3" t="s">
        <v>781</v>
      </c>
      <c r="Z63" s="3" t="s">
        <v>174</v>
      </c>
      <c r="AA63" s="3" t="s">
        <v>42</v>
      </c>
      <c r="AB63" s="3" t="s">
        <v>42</v>
      </c>
      <c r="AC63" s="3"/>
      <c r="AD63" s="5" t="s">
        <v>782</v>
      </c>
      <c r="AE63" s="3" t="s">
        <v>783</v>
      </c>
      <c r="AF63" s="7" t="s">
        <v>121</v>
      </c>
      <c r="AG63" s="7" t="s">
        <v>784</v>
      </c>
      <c r="AH63" s="8" t="s">
        <v>58</v>
      </c>
      <c r="AI63" s="7"/>
    </row>
    <row r="64" ht="18.0" customHeight="1">
      <c r="A64" s="3">
        <v>63.0</v>
      </c>
      <c r="B64" s="3" t="str">
        <f t="shared" si="6"/>
        <v>Catalano et al 2011</v>
      </c>
      <c r="C64" s="3" t="s">
        <v>785</v>
      </c>
      <c r="D64" s="3" t="s">
        <v>786</v>
      </c>
      <c r="E64" s="3" t="s">
        <v>787</v>
      </c>
      <c r="F64" s="3" t="s">
        <v>788</v>
      </c>
      <c r="G64" s="3" t="s">
        <v>789</v>
      </c>
      <c r="H64" s="3" t="s">
        <v>97</v>
      </c>
      <c r="I64" s="3" t="s">
        <v>79</v>
      </c>
      <c r="J64" s="3" t="s">
        <v>790</v>
      </c>
      <c r="K64" s="3" t="s">
        <v>791</v>
      </c>
      <c r="L64" s="3">
        <v>2011.0</v>
      </c>
      <c r="M64" s="3" t="s">
        <v>767</v>
      </c>
      <c r="N64" s="3" t="s">
        <v>46</v>
      </c>
      <c r="O64" s="3"/>
      <c r="P64" s="3"/>
      <c r="Q64" s="6" t="s">
        <v>47</v>
      </c>
      <c r="R64" s="3" t="s">
        <v>768</v>
      </c>
      <c r="S64" s="3">
        <v>6.0</v>
      </c>
      <c r="T64" s="3">
        <v>8.0</v>
      </c>
      <c r="U64" s="12">
        <v>0.47</v>
      </c>
      <c r="V64" s="3" t="s">
        <v>792</v>
      </c>
      <c r="W64" s="3" t="s">
        <v>255</v>
      </c>
      <c r="X64" s="7" t="s">
        <v>793</v>
      </c>
      <c r="Y64" s="7" t="s">
        <v>794</v>
      </c>
      <c r="Z64" s="3" t="s">
        <v>86</v>
      </c>
      <c r="AA64" s="3"/>
      <c r="AB64" s="3"/>
      <c r="AC64" s="3" t="s">
        <v>79</v>
      </c>
      <c r="AD64" s="5" t="s">
        <v>795</v>
      </c>
      <c r="AE64" s="3" t="s">
        <v>56</v>
      </c>
      <c r="AF64" s="7" t="s">
        <v>57</v>
      </c>
      <c r="AG64" s="7" t="s">
        <v>796</v>
      </c>
      <c r="AH64" s="8" t="s">
        <v>58</v>
      </c>
      <c r="AI64" s="7"/>
    </row>
    <row r="65" ht="18.0" customHeight="1">
      <c r="A65" s="3">
        <v>64.0</v>
      </c>
      <c r="B65" s="3" t="str">
        <f t="shared" si="6"/>
        <v>Brook et al 1998</v>
      </c>
      <c r="C65" s="3" t="s">
        <v>797</v>
      </c>
      <c r="D65" s="3" t="s">
        <v>798</v>
      </c>
      <c r="E65" s="3" t="s">
        <v>799</v>
      </c>
      <c r="F65" s="3" t="s">
        <v>800</v>
      </c>
      <c r="G65" s="3" t="s">
        <v>801</v>
      </c>
      <c r="H65" s="3" t="s">
        <v>41</v>
      </c>
      <c r="I65" s="3" t="s">
        <v>79</v>
      </c>
      <c r="J65" s="5" t="s">
        <v>802</v>
      </c>
      <c r="K65" s="3" t="s">
        <v>803</v>
      </c>
      <c r="L65" s="5">
        <v>1998.0</v>
      </c>
      <c r="M65" s="5" t="s">
        <v>767</v>
      </c>
      <c r="N65" s="3" t="s">
        <v>46</v>
      </c>
      <c r="O65" s="3"/>
      <c r="P65" s="3"/>
      <c r="Q65" s="14" t="s">
        <v>47</v>
      </c>
      <c r="R65" s="3" t="s">
        <v>768</v>
      </c>
      <c r="S65" s="5">
        <v>1.0</v>
      </c>
      <c r="T65" s="5">
        <v>10.0</v>
      </c>
      <c r="U65" s="3" t="s">
        <v>69</v>
      </c>
      <c r="V65" s="5" t="s">
        <v>83</v>
      </c>
      <c r="W65" s="5" t="s">
        <v>255</v>
      </c>
      <c r="X65" s="8" t="s">
        <v>804</v>
      </c>
      <c r="Y65" s="8" t="s">
        <v>805</v>
      </c>
      <c r="Z65" s="3" t="s">
        <v>174</v>
      </c>
      <c r="AA65" s="3" t="s">
        <v>79</v>
      </c>
      <c r="AB65" s="3" t="s">
        <v>79</v>
      </c>
      <c r="AC65" s="3"/>
      <c r="AD65" s="5" t="s">
        <v>806</v>
      </c>
      <c r="AE65" s="3" t="s">
        <v>56</v>
      </c>
      <c r="AF65" s="8" t="s">
        <v>89</v>
      </c>
      <c r="AG65" s="8" t="s">
        <v>807</v>
      </c>
      <c r="AH65" s="8" t="s">
        <v>58</v>
      </c>
      <c r="AI65" s="8"/>
    </row>
    <row r="66" ht="18.0" customHeight="1">
      <c r="A66" s="3">
        <v>65.0</v>
      </c>
      <c r="B66" s="3" t="s">
        <v>808</v>
      </c>
      <c r="C66" s="3" t="s">
        <v>809</v>
      </c>
      <c r="D66" s="3" t="s">
        <v>225</v>
      </c>
      <c r="E66" s="3" t="s">
        <v>226</v>
      </c>
      <c r="F66" s="3" t="s">
        <v>810</v>
      </c>
      <c r="G66" s="3" t="s">
        <v>811</v>
      </c>
      <c r="H66" s="3" t="s">
        <v>97</v>
      </c>
      <c r="I66" s="3" t="s">
        <v>79</v>
      </c>
      <c r="J66" s="3" t="s">
        <v>812</v>
      </c>
      <c r="K66" s="3" t="s">
        <v>813</v>
      </c>
      <c r="L66" s="3">
        <v>2011.0</v>
      </c>
      <c r="M66" s="3" t="s">
        <v>767</v>
      </c>
      <c r="N66" s="3" t="s">
        <v>113</v>
      </c>
      <c r="O66" s="3" t="s">
        <v>814</v>
      </c>
      <c r="P66" s="3" t="s">
        <v>42</v>
      </c>
      <c r="Q66" s="3" t="s">
        <v>47</v>
      </c>
      <c r="R66" s="3" t="s">
        <v>768</v>
      </c>
      <c r="S66" s="3">
        <v>18.0</v>
      </c>
      <c r="T66" s="3" t="s">
        <v>253</v>
      </c>
      <c r="U66" s="3" t="s">
        <v>254</v>
      </c>
      <c r="V66" s="3" t="s">
        <v>232</v>
      </c>
      <c r="W66" s="3" t="s">
        <v>255</v>
      </c>
      <c r="X66" s="3" t="s">
        <v>52</v>
      </c>
      <c r="Y66" s="7" t="s">
        <v>815</v>
      </c>
      <c r="Z66" s="3" t="s">
        <v>174</v>
      </c>
      <c r="AA66" s="3" t="s">
        <v>79</v>
      </c>
      <c r="AB66" s="3" t="s">
        <v>79</v>
      </c>
      <c r="AC66" s="3"/>
      <c r="AD66" s="5" t="s">
        <v>816</v>
      </c>
      <c r="AE66" s="3" t="s">
        <v>56</v>
      </c>
      <c r="AF66" s="7" t="s">
        <v>57</v>
      </c>
      <c r="AG66" s="7" t="s">
        <v>817</v>
      </c>
      <c r="AH66" s="8" t="s">
        <v>58</v>
      </c>
      <c r="AI66" s="7"/>
    </row>
    <row r="67" ht="18.0" customHeight="1">
      <c r="A67" s="3">
        <v>66.0</v>
      </c>
      <c r="B67" s="3" t="str">
        <f t="shared" ref="B67:B70" si="7">LEFT(J67,FIND(" ",J67)-1) &amp; " et al " &amp; L67</f>
        <v>Clark et al 2006</v>
      </c>
      <c r="C67" s="3" t="s">
        <v>818</v>
      </c>
      <c r="D67" s="3" t="s">
        <v>369</v>
      </c>
      <c r="E67" s="3" t="s">
        <v>819</v>
      </c>
      <c r="F67" s="3" t="s">
        <v>820</v>
      </c>
      <c r="G67" s="3" t="s">
        <v>821</v>
      </c>
      <c r="H67" s="3" t="s">
        <v>97</v>
      </c>
      <c r="I67" s="3" t="s">
        <v>79</v>
      </c>
      <c r="J67" s="3" t="s">
        <v>822</v>
      </c>
      <c r="K67" s="3" t="s">
        <v>823</v>
      </c>
      <c r="L67" s="3">
        <v>2006.0</v>
      </c>
      <c r="M67" s="3" t="s">
        <v>767</v>
      </c>
      <c r="N67" s="3" t="s">
        <v>113</v>
      </c>
      <c r="O67" s="3" t="s">
        <v>824</v>
      </c>
      <c r="P67" s="3" t="s">
        <v>79</v>
      </c>
      <c r="Q67" s="12" t="s">
        <v>691</v>
      </c>
      <c r="R67" s="3" t="s">
        <v>768</v>
      </c>
      <c r="S67" s="3">
        <v>11.0</v>
      </c>
      <c r="T67" s="3">
        <v>14.0</v>
      </c>
      <c r="U67" s="3" t="s">
        <v>69</v>
      </c>
      <c r="V67" s="3" t="s">
        <v>825</v>
      </c>
      <c r="W67" s="7" t="s">
        <v>484</v>
      </c>
      <c r="X67" s="7" t="s">
        <v>52</v>
      </c>
      <c r="Y67" s="3" t="s">
        <v>826</v>
      </c>
      <c r="Z67" s="3" t="s">
        <v>54</v>
      </c>
      <c r="AA67" s="3" t="s">
        <v>79</v>
      </c>
      <c r="AB67" s="3"/>
      <c r="AC67" s="3"/>
      <c r="AD67" s="5" t="s">
        <v>827</v>
      </c>
      <c r="AE67" s="3" t="s">
        <v>56</v>
      </c>
      <c r="AF67" s="7" t="s">
        <v>121</v>
      </c>
      <c r="AG67" s="7" t="s">
        <v>828</v>
      </c>
      <c r="AH67" s="8" t="s">
        <v>58</v>
      </c>
      <c r="AI67" s="7"/>
    </row>
    <row r="68" ht="18.0" customHeight="1">
      <c r="A68" s="3">
        <v>67.0</v>
      </c>
      <c r="B68" s="3" t="str">
        <f t="shared" si="7"/>
        <v>Costello et al 1999</v>
      </c>
      <c r="C68" s="3" t="s">
        <v>829</v>
      </c>
      <c r="D68" s="3" t="s">
        <v>225</v>
      </c>
      <c r="E68" s="3" t="s">
        <v>315</v>
      </c>
      <c r="F68" s="3" t="s">
        <v>830</v>
      </c>
      <c r="G68" s="3" t="s">
        <v>831</v>
      </c>
      <c r="H68" s="3" t="s">
        <v>183</v>
      </c>
      <c r="I68" s="3" t="s">
        <v>65</v>
      </c>
      <c r="J68" s="3" t="s">
        <v>832</v>
      </c>
      <c r="K68" s="3" t="s">
        <v>833</v>
      </c>
      <c r="L68" s="3">
        <v>1999.0</v>
      </c>
      <c r="M68" s="3" t="s">
        <v>767</v>
      </c>
      <c r="N68" s="3" t="s">
        <v>46</v>
      </c>
      <c r="O68" s="3"/>
      <c r="P68" s="3"/>
      <c r="Q68" s="3" t="s">
        <v>47</v>
      </c>
      <c r="R68" s="3" t="s">
        <v>768</v>
      </c>
      <c r="S68" s="3">
        <v>9.0</v>
      </c>
      <c r="T68" s="3">
        <v>13.0</v>
      </c>
      <c r="U68" s="10" t="s">
        <v>69</v>
      </c>
      <c r="V68" s="3" t="s">
        <v>321</v>
      </c>
      <c r="W68" s="3" t="s">
        <v>834</v>
      </c>
      <c r="X68" s="3" t="s">
        <v>835</v>
      </c>
      <c r="Y68" s="7" t="s">
        <v>836</v>
      </c>
      <c r="Z68" s="3" t="s">
        <v>174</v>
      </c>
      <c r="AA68" s="3" t="s">
        <v>65</v>
      </c>
      <c r="AB68" s="3" t="s">
        <v>184</v>
      </c>
      <c r="AC68" s="3"/>
      <c r="AD68" s="3" t="s">
        <v>837</v>
      </c>
      <c r="AE68" s="3" t="s">
        <v>838</v>
      </c>
      <c r="AF68" s="7" t="s">
        <v>89</v>
      </c>
      <c r="AG68" s="7" t="s">
        <v>839</v>
      </c>
      <c r="AH68" s="7" t="s">
        <v>58</v>
      </c>
      <c r="AI68" s="7"/>
    </row>
    <row r="69" ht="18.0" customHeight="1">
      <c r="A69" s="3">
        <v>68.0</v>
      </c>
      <c r="B69" s="3" t="str">
        <f t="shared" si="7"/>
        <v>Hooshmand et al 2012</v>
      </c>
      <c r="C69" s="3" t="s">
        <v>840</v>
      </c>
      <c r="D69" s="3" t="s">
        <v>225</v>
      </c>
      <c r="E69" s="3" t="s">
        <v>841</v>
      </c>
      <c r="F69" s="3" t="s">
        <v>842</v>
      </c>
      <c r="G69" s="3" t="s">
        <v>843</v>
      </c>
      <c r="H69" s="3" t="s">
        <v>183</v>
      </c>
      <c r="I69" s="3" t="s">
        <v>152</v>
      </c>
      <c r="J69" s="3" t="s">
        <v>844</v>
      </c>
      <c r="K69" s="3" t="s">
        <v>845</v>
      </c>
      <c r="L69" s="3">
        <v>2012.0</v>
      </c>
      <c r="M69" s="3" t="s">
        <v>767</v>
      </c>
      <c r="N69" s="3" t="s">
        <v>46</v>
      </c>
      <c r="O69" s="3"/>
      <c r="P69" s="3"/>
      <c r="Q69" s="6" t="s">
        <v>431</v>
      </c>
      <c r="R69" s="3" t="s">
        <v>768</v>
      </c>
      <c r="S69" s="3" t="s">
        <v>846</v>
      </c>
      <c r="T69" s="3" t="s">
        <v>846</v>
      </c>
      <c r="U69" s="3" t="s">
        <v>362</v>
      </c>
      <c r="V69" s="3" t="s">
        <v>83</v>
      </c>
      <c r="W69" s="3" t="s">
        <v>255</v>
      </c>
      <c r="X69" s="3" t="s">
        <v>847</v>
      </c>
      <c r="Y69" s="7" t="s">
        <v>53</v>
      </c>
      <c r="Z69" s="3" t="s">
        <v>54</v>
      </c>
      <c r="AA69" s="3" t="s">
        <v>152</v>
      </c>
      <c r="AB69" s="3"/>
      <c r="AC69" s="3"/>
      <c r="AD69" s="5" t="s">
        <v>848</v>
      </c>
      <c r="AE69" s="3" t="s">
        <v>849</v>
      </c>
      <c r="AF69" s="7" t="s">
        <v>57</v>
      </c>
      <c r="AG69" s="7" t="s">
        <v>850</v>
      </c>
      <c r="AH69" s="8" t="s">
        <v>58</v>
      </c>
      <c r="AI69" s="7"/>
    </row>
    <row r="70" ht="18.0" customHeight="1">
      <c r="A70" s="3">
        <v>69.0</v>
      </c>
      <c r="B70" s="3" t="str">
        <f t="shared" si="7"/>
        <v>Degenhardt et al 2007</v>
      </c>
      <c r="C70" s="3" t="s">
        <v>514</v>
      </c>
      <c r="D70" s="3" t="s">
        <v>851</v>
      </c>
      <c r="E70" s="3" t="s">
        <v>852</v>
      </c>
      <c r="F70" s="3" t="s">
        <v>853</v>
      </c>
      <c r="G70" s="3" t="s">
        <v>854</v>
      </c>
      <c r="H70" s="3" t="s">
        <v>41</v>
      </c>
      <c r="I70" s="3" t="s">
        <v>152</v>
      </c>
      <c r="J70" s="3" t="s">
        <v>855</v>
      </c>
      <c r="K70" s="3" t="s">
        <v>856</v>
      </c>
      <c r="L70" s="3">
        <v>2007.0</v>
      </c>
      <c r="M70" s="3" t="s">
        <v>767</v>
      </c>
      <c r="N70" s="3" t="s">
        <v>46</v>
      </c>
      <c r="O70" s="3"/>
      <c r="P70" s="3"/>
      <c r="Q70" s="3" t="s">
        <v>481</v>
      </c>
      <c r="R70" s="3" t="s">
        <v>768</v>
      </c>
      <c r="S70" s="3">
        <v>14.0</v>
      </c>
      <c r="T70" s="3">
        <v>15.0</v>
      </c>
      <c r="U70" s="6">
        <v>0.514</v>
      </c>
      <c r="V70" s="3" t="s">
        <v>83</v>
      </c>
      <c r="W70" s="3" t="s">
        <v>484</v>
      </c>
      <c r="X70" s="7" t="s">
        <v>52</v>
      </c>
      <c r="Y70" s="7" t="s">
        <v>857</v>
      </c>
      <c r="Z70" s="3" t="s">
        <v>86</v>
      </c>
      <c r="AA70" s="3"/>
      <c r="AB70" s="3"/>
      <c r="AC70" s="3" t="s">
        <v>152</v>
      </c>
      <c r="AD70" s="5" t="s">
        <v>858</v>
      </c>
      <c r="AE70" s="3" t="s">
        <v>56</v>
      </c>
      <c r="AF70" s="7" t="s">
        <v>121</v>
      </c>
      <c r="AG70" s="7" t="s">
        <v>859</v>
      </c>
      <c r="AH70" s="8" t="s">
        <v>58</v>
      </c>
      <c r="AI70" s="7"/>
    </row>
    <row r="71" ht="18.0" customHeight="1">
      <c r="A71" s="26"/>
      <c r="B71" s="26"/>
      <c r="C71" s="26"/>
      <c r="D71" s="26"/>
      <c r="E71" s="26"/>
      <c r="F71" s="26"/>
      <c r="G71" s="26"/>
      <c r="H71" s="26"/>
      <c r="I71" s="26"/>
      <c r="J71" s="26"/>
      <c r="K71" s="26"/>
      <c r="L71" s="26"/>
      <c r="M71" s="26"/>
      <c r="N71" s="26"/>
      <c r="O71" s="26"/>
      <c r="P71" s="26"/>
      <c r="Q71" s="27"/>
      <c r="R71" s="26"/>
      <c r="S71" s="26"/>
      <c r="T71" s="26"/>
      <c r="U71" s="26"/>
      <c r="V71" s="26"/>
      <c r="W71" s="26"/>
      <c r="X71" s="28"/>
      <c r="Y71" s="28"/>
      <c r="Z71" s="26"/>
      <c r="AA71" s="26"/>
      <c r="AB71" s="26"/>
      <c r="AC71" s="26"/>
      <c r="AD71" s="26"/>
      <c r="AE71" s="26"/>
      <c r="AF71" s="28"/>
      <c r="AG71" s="28"/>
      <c r="AH71" s="28"/>
      <c r="AI71" s="28"/>
    </row>
    <row r="72" ht="18.0"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8"/>
      <c r="Z72" s="26"/>
      <c r="AA72" s="26"/>
      <c r="AB72" s="26"/>
      <c r="AC72" s="26"/>
      <c r="AD72" s="26"/>
      <c r="AE72" s="26"/>
      <c r="AF72" s="28"/>
      <c r="AG72" s="28"/>
      <c r="AH72" s="28"/>
      <c r="AI72" s="28"/>
    </row>
    <row r="73" ht="18.0" customHeight="1">
      <c r="A73" s="26"/>
      <c r="B73" s="26"/>
      <c r="C73" s="26"/>
      <c r="D73" s="26"/>
      <c r="E73" s="26"/>
      <c r="F73" s="26"/>
      <c r="G73" s="26"/>
      <c r="H73" s="26"/>
      <c r="I73" s="26"/>
      <c r="J73" s="26"/>
      <c r="K73" s="26"/>
      <c r="L73" s="26"/>
      <c r="M73" s="26"/>
      <c r="N73" s="26"/>
      <c r="O73" s="26"/>
      <c r="P73" s="26"/>
      <c r="Q73" s="27"/>
      <c r="R73" s="26"/>
      <c r="S73" s="26"/>
      <c r="T73" s="26"/>
      <c r="U73" s="26"/>
      <c r="V73" s="26"/>
      <c r="W73" s="26"/>
      <c r="X73" s="28"/>
      <c r="Y73" s="28"/>
      <c r="Z73" s="26"/>
      <c r="AA73" s="26"/>
      <c r="AB73" s="26"/>
      <c r="AC73" s="26"/>
      <c r="AD73" s="26"/>
      <c r="AE73" s="26"/>
      <c r="AF73" s="28"/>
      <c r="AG73" s="28"/>
      <c r="AH73" s="28"/>
      <c r="AI73" s="28"/>
    </row>
    <row r="74" ht="18.0" customHeight="1">
      <c r="A74" s="26"/>
      <c r="B74" s="26"/>
      <c r="C74" s="26"/>
      <c r="D74" s="26"/>
      <c r="E74" s="26"/>
      <c r="F74" s="26"/>
      <c r="G74" s="26"/>
      <c r="H74" s="26"/>
      <c r="I74" s="26"/>
      <c r="J74" s="26"/>
      <c r="K74" s="26"/>
      <c r="L74" s="26"/>
      <c r="M74" s="26"/>
      <c r="N74" s="26"/>
      <c r="O74" s="26"/>
      <c r="P74" s="26"/>
      <c r="Q74" s="29"/>
      <c r="R74" s="26"/>
      <c r="S74" s="26"/>
      <c r="T74" s="26"/>
      <c r="U74" s="26"/>
      <c r="V74" s="26"/>
      <c r="W74" s="28"/>
      <c r="X74" s="28"/>
      <c r="Y74" s="26"/>
      <c r="Z74" s="26"/>
      <c r="AA74" s="26"/>
      <c r="AB74" s="26"/>
      <c r="AC74" s="26"/>
      <c r="AD74" s="26"/>
      <c r="AE74" s="26"/>
      <c r="AF74" s="28"/>
      <c r="AG74" s="28"/>
      <c r="AH74" s="28"/>
      <c r="AI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row>
  </sheetData>
  <hyperlinks>
    <hyperlink r:id="rId1" ref="W6"/>
    <hyperlink r:id="rId2" ref="W18"/>
    <hyperlink r:id="rId3" ref="W19"/>
  </hyperlinks>
  <drawing r:id="rId4"/>
</worksheet>
</file>