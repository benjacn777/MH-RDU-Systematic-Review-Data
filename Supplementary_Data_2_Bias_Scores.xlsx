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<sst xmlns="http://schemas.openxmlformats.org/spreadsheetml/2006/main" count="327" uniqueCount="152">
  <si>
    <t>Numbers</t>
  </si>
  <si>
    <t>Title</t>
  </si>
  <si>
    <t>Reference</t>
  </si>
  <si>
    <t>Criteria 1. Were the two groups similar and recruited from the same population?</t>
  </si>
  <si>
    <t>Criteria 2. Were the exposures measured similarly to assign people to both exposed and unexposed groups?</t>
  </si>
  <si>
    <t>Criteria 3. Was the exposure measured in a valid and reliable way?</t>
  </si>
  <si>
    <t>Criteria 4. Were confounding factors identified?</t>
  </si>
  <si>
    <t>Criteria 5. Were strategies to deal with confounding factors stated?</t>
  </si>
  <si>
    <t>Criteria 6. Were the groups/participants free of the outcome at the start of the study (or at the moment of exposure)?</t>
  </si>
  <si>
    <t>Criteria 7. Were the outcomes measured in a valid and reliable way?</t>
  </si>
  <si>
    <t xml:space="preserve">Criteria 8. Was the follow up time reported and sufficient to be long enough for outcomes to occur? </t>
  </si>
  <si>
    <t>Criteria 9. Was follow up complete, and if not, were the reasons to loss to follow up described and explored?</t>
  </si>
  <si>
    <t>Criteria 10. Were strategies to address incomplete follow up utilized?</t>
  </si>
  <si>
    <t>Criteria 11. Was appropriate statistical analysis used?</t>
  </si>
  <si>
    <t>Bias Score</t>
  </si>
  <si>
    <t>"Gateway hypothesis" and early drug use: Additional findings from tracking a population-based sample of adolescents to adulthood</t>
  </si>
  <si>
    <t>Nkansah-Amankra &amp; Minelli 2016</t>
  </si>
  <si>
    <t>N/A</t>
  </si>
  <si>
    <t>Initiation of drug and alcohol use and personality development during adolescence</t>
  </si>
  <si>
    <t>Wright &amp; Jackson 2023</t>
  </si>
  <si>
    <t>Adolescent Drug Use, Psychological Distress, and Physical Symptoms</t>
  </si>
  <si>
    <t>Hansell &amp; Raskin-White 1991</t>
  </si>
  <si>
    <t>Childhood, adolescent, and young adult predictors of suicidal behaviors: A prospective study of African Americans</t>
  </si>
  <si>
    <t>Juon &amp; Ensinger 1997</t>
  </si>
  <si>
    <t>Drug use and the risk of major depressive disorder, alcohol dependence, and substance use disorders.</t>
  </si>
  <si>
    <t>Brook et al 2002</t>
  </si>
  <si>
    <t>Effects of Adolescent Drug Use on Adult Mental Health: A Prospective Study of a Community Sample</t>
  </si>
  <si>
    <t>Newcomb et al 1993</t>
  </si>
  <si>
    <t>Interrelationship of substance use and psychological distress over the life course among a cohort of urban African Americans</t>
  </si>
  <si>
    <t>Green et al 2012</t>
  </si>
  <si>
    <t>Cocaine use among adolescents: longitudinal associations with social context, psychopathology, and use of other substances</t>
  </si>
  <si>
    <t>Newcomb &amp; Bentler 1986</t>
  </si>
  <si>
    <t>Drug problems and Psychological Distress among a community sample of adults: Predictors, consequences, or confound?</t>
  </si>
  <si>
    <t>Newcomb et al 1999</t>
  </si>
  <si>
    <t>Modifiable risk factors of ecstasy use: Risk perception, current dependence, perceived control, and depression.</t>
  </si>
  <si>
    <t>Leung et al 2010</t>
  </si>
  <si>
    <t>Self-reported psychopathological symptoms in recreational ecstasy (MDMA) users are mainly associated with regular cannabis use: further evidence from a combined cross-sectional/longitudinal investigation</t>
  </si>
  <si>
    <t>Daumann et al 2004</t>
  </si>
  <si>
    <t>Naturalistic psilocybin use is associated with persisting improvements in mental health and wellbeing: results from a prospective, longitudinal survey.</t>
  </si>
  <si>
    <t>Nayak et al 2023</t>
  </si>
  <si>
    <t>A temporal relationship between nonmedical opioid Use and major depression in the USA: Prospective study from the National Epidemiological Survey on Alcohol and Related Conditions.</t>
  </si>
  <si>
    <t>Li et al 2020</t>
  </si>
  <si>
    <t>Association between nonmedical prescription drug use and health status among young swiss men.</t>
  </si>
  <si>
    <t>N'Goran et al 2014</t>
  </si>
  <si>
    <t>Mood and anxiety disorders and their association with non-medical prescription opioid use and prescription opioid-use disorder: longitudinal evidence from the National Epidemiologic Study on Alcohol and Related Conditions</t>
  </si>
  <si>
    <t>Martins et al 2012</t>
  </si>
  <si>
    <t>A longitudinal study of risk factors for incident drug use in adults: Findings from a representative sample of the US population.</t>
  </si>
  <si>
    <t>Harrington et al 2011</t>
  </si>
  <si>
    <t>Behavioral health risk factors for nonmedical prescription opioid use in adolescence.</t>
  </si>
  <si>
    <t>Cho et al 2021</t>
  </si>
  <si>
    <t>Adolescent and Adult Correlates of Prescription Opioid Use and Misuse in Adulthood: Associations Across Domains of Despair.</t>
  </si>
  <si>
    <t>Austin et al 2021</t>
  </si>
  <si>
    <t>Association between nonmedical use of prescription drugs and suicidal behavior among adolescents.</t>
  </si>
  <si>
    <t>Guo et al 2016</t>
  </si>
  <si>
    <t>Opioid use as a proximal risk factor for suicidal behavior in young adults</t>
  </si>
  <si>
    <t>Marengo et al 2022</t>
  </si>
  <si>
    <t>Associations of Despair with Suicidality and Substance Misuse among Young Adults.</t>
  </si>
  <si>
    <t>Copeland et al 2020</t>
  </si>
  <si>
    <t>Longitudinal Associations Between Anxiety Sensitivity and Substance Use in Adolescents: Mediation by Depressive Affect.</t>
  </si>
  <si>
    <t>Guillot et al 2024</t>
  </si>
  <si>
    <t>Longitudinal effects of adverse childhood experiences on substance use transition patterns during young adulthood</t>
  </si>
  <si>
    <t>Davis et al 2021</t>
  </si>
  <si>
    <t>Personality to Prescription Drug Misuse in Adolescents: Testing Affect Regulation, Psychological Dysregulation, and Deviance Proneness Pathways.</t>
  </si>
  <si>
    <t>Stewart et al 2021</t>
  </si>
  <si>
    <t>Prevalence and Childhood Precursors of Opioid Use in the Early Decades of Life</t>
  </si>
  <si>
    <t>Shanahan et al 2021</t>
  </si>
  <si>
    <t>Risk factors for incident nonmedical prescription opioid use and abuse and dependence: Results from a longitudinal nationally representative sample.</t>
  </si>
  <si>
    <t>Katz et al 2013</t>
  </si>
  <si>
    <t>Association of Nonmedical Prescription Opioid Use With Subsequent Heroin Use Initiation in Adolescents</t>
  </si>
  <si>
    <t>Kelley-Quon et al 2019</t>
  </si>
  <si>
    <t>Men's misuse of prescription opioids from early to middle adulthood: An examination of developmental and concurrent prediction models.</t>
  </si>
  <si>
    <t>Capaldi et al 2019</t>
  </si>
  <si>
    <t>Perceived Health, Medical, and Psychiatric Conditions in Individual and Dual-Use of Marijuana and Nonprescription Opioids.</t>
  </si>
  <si>
    <t>Frohe et al 2019</t>
  </si>
  <si>
    <t>Psychosocial Correlates of Opioid Use Profiles among Young Adults in a Longitudinal Study across 6 US Metropolitan Areas</t>
  </si>
  <si>
    <t>Fuss et al 2023</t>
  </si>
  <si>
    <t>Alcohol, Marijuana and Other Illicit Drugs Use Throughout Adolescence: Co-occurring Courses and Preadolescent Risk-Factors</t>
  </si>
  <si>
    <t>Carbonneau et al 2022</t>
  </si>
  <si>
    <t>Depressive mood and adolescent illicit drug use: a longitudinal analysis.</t>
  </si>
  <si>
    <t>Paton et al 1977</t>
  </si>
  <si>
    <t>Substance use confounds associations between peer victimization and aggression in adolescence with mental disorders in adulthood: A prospective birth cohort study</t>
  </si>
  <si>
    <t>Sarala et al 2022</t>
  </si>
  <si>
    <t>A latent class analysis of heavy substance use in Young adulthood and impacts on physical, cognitive, and mental health outcomes in middle age</t>
  </si>
  <si>
    <t>Patrick et al 2020</t>
  </si>
  <si>
    <t>Gender differences in the relationship between offending, self-harm and depression in adolescence and young adulthood</t>
  </si>
  <si>
    <t>Fagan &amp; Western 2003</t>
  </si>
  <si>
    <t>Longitudinal associations of cannabis and illicit drug use with depression, suicidal ideation and suicidal attempts among Nova Scotia high school students</t>
  </si>
  <si>
    <t>Rasic et al 2013</t>
  </si>
  <si>
    <t>Association between anxiety disorders and substance use disorders among young persons: results of a 21-year longitudinal study</t>
  </si>
  <si>
    <t>Goodwin et al 2004</t>
  </si>
  <si>
    <t>Predictors of young adults' amphetamine use and disorders: A prospective study</t>
  </si>
  <si>
    <t>Hayatbakhsh et al 2009</t>
  </si>
  <si>
    <t>Transitions in Illicit Drug Use Status Over 3 Years: A Prospective Analysis of a General Population Sample</t>
  </si>
  <si>
    <t>Compton et al 2013</t>
  </si>
  <si>
    <t>Emotional health predictors of substance use initiation during middle school.</t>
  </si>
  <si>
    <t>McCarty et al 2012</t>
  </si>
  <si>
    <t>Personalized Risk Assessment of Drug-Related Harm Is Associated with Health Outcomes</t>
  </si>
  <si>
    <t>Jones et al 2013</t>
  </si>
  <si>
    <t>Predictors and consequences of prescription drug misuse during middle school</t>
  </si>
  <si>
    <t>Tucker et al 2015</t>
  </si>
  <si>
    <t>Relationships among independent major depressions, alcohol use, and other substance use and related problems over 30 years in 397 families</t>
  </si>
  <si>
    <t>Schuckit et al 2013</t>
  </si>
  <si>
    <t>Role of individual, peer and family factors in the use of cannabis and other illicit drugs: A longitudinal analysis among Finnish adolescent twins</t>
  </si>
  <si>
    <t>Korhonen et al 2008</t>
  </si>
  <si>
    <t>What predicts illicit drug use versus police-registered drug offending? Findings from the Finnish From a Boy to a Man'' birth cohort study</t>
  </si>
  <si>
    <t>Niemelä et al 2008</t>
  </si>
  <si>
    <t>Prospective associations between meth/amphetamine (speed) and MDMA (ecstasy) use and depressive symptoms in secondary school students</t>
  </si>
  <si>
    <t>Brière et al 2012</t>
  </si>
  <si>
    <t>Ordinary people with normal lives? A longitudinal study of ecstasy and other drug use among Norwegian youth</t>
  </si>
  <si>
    <t>Pape &amp; Rossow 2004</t>
  </si>
  <si>
    <t>Symptoms of anxiety and depression in childhood and use of MDMA: prospective, population based study</t>
  </si>
  <si>
    <t>Huizink et al 2006</t>
  </si>
  <si>
    <t>Ecstasy use and depression: A 4-year longitudinal study among an Australian general community sample</t>
  </si>
  <si>
    <t>George et al 2013</t>
  </si>
  <si>
    <t>Ecstasy use and self-reported depression, impulsivity, and sensation seeking: a prospective cohort study</t>
  </si>
  <si>
    <t>de Win et al 2006</t>
  </si>
  <si>
    <t>Pathways to ecstasy use in young adults: Anxiety, depression or behavioural deviance?</t>
  </si>
  <si>
    <t>Alati et al 2008</t>
  </si>
  <si>
    <t>Illegal drug use, depressive symptoms, and general health: Exploring co-occurrence across 11 years in a national sample.</t>
  </si>
  <si>
    <t>Silver et al 2023</t>
  </si>
  <si>
    <t>Positive expectations predict improved mental-health outcomes linked to psychedelic microdosing</t>
  </si>
  <si>
    <t>Kaertner et al 2021</t>
  </si>
  <si>
    <t>Antidepressant effects of a psychedelic experience in a large prospective naturalistic sample</t>
  </si>
  <si>
    <t>Nygart et al 2022</t>
  </si>
  <si>
    <t>Changes in mental health, wellbeing and personality following ayahuasca consumption: Results of a naturalistic longitudinal study</t>
  </si>
  <si>
    <t>Perkins et al 2022</t>
  </si>
  <si>
    <t>Effects of ayahuasca on mental health and quality of life in naive users: A longitudinal and cross-sectional study combination.</t>
  </si>
  <si>
    <t>Jiménez-Garrido et al 2020</t>
  </si>
  <si>
    <t>Post-Psychedelic Reductions in Experiential Avoidance Are Associated With Decreases in Depression Severity and Suicidal Ideation</t>
  </si>
  <si>
    <t>Zeifman et al 2020</t>
  </si>
  <si>
    <t>Psilocybin microdosers demonstrate greater observed improvements in mood and mental health at one month relative to non-microdosing controls</t>
  </si>
  <si>
    <t>Rootman et al 2022</t>
  </si>
  <si>
    <t>Sustained, Multifaceted Improvements in Mental Well-Being Following Psychedelic Experiences in a Prospective Opportunity Sample</t>
  </si>
  <si>
    <t>Mans et al 2021</t>
  </si>
  <si>
    <t>Gender differences in trajectories of depressive symptomatology and substance use during the transition from adolescence to young adulthood</t>
  </si>
  <si>
    <t>Needham 2007</t>
  </si>
  <si>
    <t>Mental disorders in ecstasy users: a prospective-longitudinal investigation</t>
  </si>
  <si>
    <t>Lieb et al 2002</t>
  </si>
  <si>
    <t>Is nonmedical prescription opiate use a unique form of illicit drug use?</t>
  </si>
  <si>
    <t>Catalano et al 2011</t>
  </si>
  <si>
    <t>Longitudinal Study of Co-occurring Psychiatric Disorders and Substance Use</t>
  </si>
  <si>
    <t>Brook et al 1998</t>
  </si>
  <si>
    <t>Non-medical prescription use increases the risk for the onset and recurrence of psychopathology: results from the National Epidemiological Survey on Alcohol and Related Conditions</t>
  </si>
  <si>
    <t>Schepis &amp; Hakes 2011</t>
  </si>
  <si>
    <t>Psychological symptoms and physical health and health behaviours in adolescents: a prospective 2-year study in East London</t>
  </si>
  <si>
    <t>Clark et al 2006</t>
  </si>
  <si>
    <t>Development of Psychiatric Comorbidity With Substance Abuse in Adolescents: Effects of Timing and Sex</t>
  </si>
  <si>
    <t>Costello et al 1999</t>
  </si>
  <si>
    <t>Does the direction of effects in the association between depressive symptoms and health-risk behaviors differ by behavior? A longitudinal study across the high school years</t>
  </si>
  <si>
    <t>Hooshmand et al 2012</t>
  </si>
  <si>
    <t>The predictors and consequences of adolescent amphetamine use: findings from the Victoria Adolescent Health Cohort Study</t>
  </si>
  <si>
    <t>Degenhardt et al 2007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</si>
</sst>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bottom"/>
    </xf>
    <xf borderId="0" fillId="2" fontId="1" numFmtId="0" xfId="0" applyAlignment="1" applyFont="1">
      <alignment horizontal="left" readingOrder="0" vertical="bottom"/>
    </xf>
    <xf borderId="0" fillId="2" fontId="2" numFmtId="0" xfId="0" applyFont="1"/>
    <xf borderId="0" fillId="2" fontId="3" numFmtId="0" xfId="0" applyAlignment="1" applyFont="1">
      <alignment horizontal="left" vertical="bottom"/>
    </xf>
    <xf borderId="0" fillId="2" fontId="3" numFmtId="10" xfId="0" applyAlignment="1" applyFont="1" applyNumberFormat="1">
      <alignment horizontal="right" vertical="bottom"/>
    </xf>
    <xf borderId="0" fillId="2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15</v>
      </c>
      <c r="C2" s="4" t="s">
        <v>16</v>
      </c>
      <c r="D2" s="4" t="s">
        <v>17</v>
      </c>
      <c r="E2" s="4" t="s">
        <v>17</v>
      </c>
      <c r="F2" s="4" t="b">
        <v>1</v>
      </c>
      <c r="G2" s="4" t="b">
        <v>1</v>
      </c>
      <c r="H2" s="4" t="b">
        <v>1</v>
      </c>
      <c r="I2" s="4" t="s">
        <v>17</v>
      </c>
      <c r="J2" s="4" t="b">
        <v>1</v>
      </c>
      <c r="K2" s="4" t="b">
        <v>1</v>
      </c>
      <c r="L2" s="4" t="b">
        <v>1</v>
      </c>
      <c r="M2" s="4" t="s">
        <v>17</v>
      </c>
      <c r="N2" s="4" t="b">
        <v>1</v>
      </c>
      <c r="O2" s="5">
        <f>IFERROR(__xludf.DUMMYFUNCTION("IF(COUNTIF(D2:N2,""DISAGREE"")&gt;0,""DISCUSS"",IFERROR(TO_PERCENT(COUNTIF(D2:N2,TRUE)/(COUNTIF(D2:N2,TRUE)+COUNTIF(D2:N2,FALSE))),""N/A""))"),1.0)</f>
        <v>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4" t="s">
        <v>18</v>
      </c>
      <c r="C3" s="4" t="s">
        <v>19</v>
      </c>
      <c r="D3" s="4" t="s">
        <v>17</v>
      </c>
      <c r="E3" s="4" t="s">
        <v>17</v>
      </c>
      <c r="F3" s="4" t="b">
        <v>1</v>
      </c>
      <c r="G3" s="4" t="b">
        <v>1</v>
      </c>
      <c r="H3" s="4" t="b">
        <v>1</v>
      </c>
      <c r="I3" s="4" t="s">
        <v>17</v>
      </c>
      <c r="J3" s="4" t="b">
        <v>1</v>
      </c>
      <c r="K3" s="4" t="b">
        <v>1</v>
      </c>
      <c r="L3" s="4" t="b">
        <v>0</v>
      </c>
      <c r="M3" s="4" t="b">
        <v>0</v>
      </c>
      <c r="N3" s="4" t="b">
        <v>1</v>
      </c>
      <c r="O3" s="5">
        <f>IFERROR(__xludf.DUMMYFUNCTION("IF(COUNTIF(D3:N3,""DISAGREE"")&gt;0,""DISCUSS"",IFERROR(TO_PERCENT(COUNTIF(D3:N3,TRUE)/(COUNTIF(D3:N3,TRUE)+COUNTIF(D3:N3,FALSE))),""N/A""))"),0.75)</f>
        <v>0.75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4" t="s">
        <v>20</v>
      </c>
      <c r="C4" s="4" t="s">
        <v>21</v>
      </c>
      <c r="D4" s="4" t="s">
        <v>17</v>
      </c>
      <c r="E4" s="4" t="s">
        <v>17</v>
      </c>
      <c r="F4" s="4" t="b">
        <v>1</v>
      </c>
      <c r="G4" s="4" t="b">
        <v>0</v>
      </c>
      <c r="H4" s="4" t="b">
        <v>0</v>
      </c>
      <c r="I4" s="4" t="s">
        <v>17</v>
      </c>
      <c r="J4" s="4" t="b">
        <v>1</v>
      </c>
      <c r="K4" s="4" t="b">
        <v>1</v>
      </c>
      <c r="L4" s="4" t="b">
        <v>1</v>
      </c>
      <c r="M4" s="4" t="s">
        <v>17</v>
      </c>
      <c r="N4" s="4" t="b">
        <v>1</v>
      </c>
      <c r="O4" s="5">
        <f>IFERROR(__xludf.DUMMYFUNCTION("IF(COUNTIF(D4:N4,""DISAGREE"")&gt;0,""DISCUSS"",IFERROR(TO_PERCENT(COUNTIF(D4:N4,TRUE)/(COUNTIF(D4:N4,TRUE)+COUNTIF(D4:N4,FALSE))),""N/A""))"),0.7142857142857143)</f>
        <v>0.7142857143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4" t="s">
        <v>22</v>
      </c>
      <c r="C5" s="4" t="s">
        <v>23</v>
      </c>
      <c r="D5" s="4" t="s">
        <v>17</v>
      </c>
      <c r="E5" s="4" t="s">
        <v>17</v>
      </c>
      <c r="F5" s="4" t="b">
        <v>1</v>
      </c>
      <c r="G5" s="4" t="b">
        <v>1</v>
      </c>
      <c r="H5" s="4" t="b">
        <v>1</v>
      </c>
      <c r="I5" s="4" t="s">
        <v>17</v>
      </c>
      <c r="J5" s="4" t="b">
        <v>1</v>
      </c>
      <c r="K5" s="4" t="b">
        <v>1</v>
      </c>
      <c r="L5" s="4" t="b">
        <v>1</v>
      </c>
      <c r="M5" s="4" t="b">
        <v>0</v>
      </c>
      <c r="N5" s="4" t="b">
        <v>1</v>
      </c>
      <c r="O5" s="5">
        <f>IFERROR(__xludf.DUMMYFUNCTION("IF(COUNTIF(D5:N5,""DISAGREE"")&gt;0,""DISCUSS"",IFERROR(TO_PERCENT(COUNTIF(D5:N5,TRUE)/(COUNTIF(D5:N5,TRUE)+COUNTIF(D5:N5,FALSE))),""N/A""))"),0.875)</f>
        <v>0.875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4" t="s">
        <v>24</v>
      </c>
      <c r="C6" s="4" t="s">
        <v>25</v>
      </c>
      <c r="D6" s="4" t="s">
        <v>17</v>
      </c>
      <c r="E6" s="4" t="s">
        <v>17</v>
      </c>
      <c r="F6" s="4" t="b">
        <v>1</v>
      </c>
      <c r="G6" s="4" t="b">
        <v>1</v>
      </c>
      <c r="H6" s="4" t="b">
        <v>1</v>
      </c>
      <c r="I6" s="4" t="s">
        <v>17</v>
      </c>
      <c r="J6" s="4" t="b">
        <v>1</v>
      </c>
      <c r="K6" s="4" t="b">
        <v>1</v>
      </c>
      <c r="L6" s="4" t="b">
        <v>0</v>
      </c>
      <c r="M6" s="4" t="b">
        <v>0</v>
      </c>
      <c r="N6" s="4" t="b">
        <v>1</v>
      </c>
      <c r="O6" s="5">
        <f>IFERROR(__xludf.DUMMYFUNCTION("IF(COUNTIF(D6:N6,""DISAGREE"")&gt;0,""DISCUSS"",IFERROR(TO_PERCENT(COUNTIF(D6:N6,TRUE)/(COUNTIF(D6:N6,TRUE)+COUNTIF(D6:N6,FALSE))),""N/A""))"),0.75)</f>
        <v>0.75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4" t="s">
        <v>26</v>
      </c>
      <c r="C7" s="4" t="s">
        <v>27</v>
      </c>
      <c r="D7" s="4" t="s">
        <v>17</v>
      </c>
      <c r="E7" s="4" t="s">
        <v>17</v>
      </c>
      <c r="F7" s="4" t="b">
        <v>1</v>
      </c>
      <c r="G7" s="4" t="b">
        <v>1</v>
      </c>
      <c r="H7" s="4" t="b">
        <v>1</v>
      </c>
      <c r="I7" s="4" t="s">
        <v>17</v>
      </c>
      <c r="J7" s="4" t="b">
        <v>1</v>
      </c>
      <c r="K7" s="4" t="b">
        <v>1</v>
      </c>
      <c r="L7" s="4" t="b">
        <v>1</v>
      </c>
      <c r="M7" s="4" t="b">
        <v>0</v>
      </c>
      <c r="N7" s="4" t="b">
        <v>1</v>
      </c>
      <c r="O7" s="5">
        <f>IFERROR(__xludf.DUMMYFUNCTION("IF(COUNTIF(D7:N7,""DISAGREE"")&gt;0,""DISCUSS"",IFERROR(TO_PERCENT(COUNTIF(D7:N7,TRUE)/(COUNTIF(D7:N7,TRUE)+COUNTIF(D7:N7,FALSE))),""N/A""))"),0.875)</f>
        <v>0.875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4" t="s">
        <v>28</v>
      </c>
      <c r="C8" s="4" t="s">
        <v>29</v>
      </c>
      <c r="D8" s="4" t="s">
        <v>17</v>
      </c>
      <c r="E8" s="4" t="s">
        <v>17</v>
      </c>
      <c r="F8" s="4" t="b">
        <v>1</v>
      </c>
      <c r="G8" s="4" t="b">
        <v>1</v>
      </c>
      <c r="H8" s="4" t="b">
        <v>1</v>
      </c>
      <c r="I8" s="4" t="s">
        <v>17</v>
      </c>
      <c r="J8" s="4" t="b">
        <v>1</v>
      </c>
      <c r="K8" s="4" t="b">
        <v>1</v>
      </c>
      <c r="L8" s="4" t="b">
        <v>1</v>
      </c>
      <c r="M8" s="4" t="b">
        <v>1</v>
      </c>
      <c r="N8" s="4" t="b">
        <v>1</v>
      </c>
      <c r="O8" s="5">
        <f>IFERROR(__xludf.DUMMYFUNCTION("IF(COUNTIF(D8:N8,""DISAGREE"")&gt;0,""DISCUSS"",IFERROR(TO_PERCENT(COUNTIF(D8:N8,TRUE)/(COUNTIF(D8:N8,TRUE)+COUNTIF(D8:N8,FALSE))),""N/A""))"),1.0)</f>
        <v>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8.0</v>
      </c>
      <c r="B9" s="4" t="s">
        <v>30</v>
      </c>
      <c r="C9" s="4" t="s">
        <v>31</v>
      </c>
      <c r="D9" s="4" t="s">
        <v>17</v>
      </c>
      <c r="E9" s="4" t="s">
        <v>17</v>
      </c>
      <c r="F9" s="4" t="b">
        <v>1</v>
      </c>
      <c r="G9" s="4" t="b">
        <v>1</v>
      </c>
      <c r="H9" s="4" t="b">
        <v>1</v>
      </c>
      <c r="I9" s="4" t="s">
        <v>17</v>
      </c>
      <c r="J9" s="4" t="b">
        <v>1</v>
      </c>
      <c r="K9" s="4" t="b">
        <v>1</v>
      </c>
      <c r="L9" s="4" t="s">
        <v>17</v>
      </c>
      <c r="M9" s="4" t="s">
        <v>17</v>
      </c>
      <c r="N9" s="4" t="b">
        <v>1</v>
      </c>
      <c r="O9" s="5">
        <f>IFERROR(__xludf.DUMMYFUNCTION("IF(COUNTIF(D9:N9,""DISAGREE"")&gt;0,""DISCUSS"",IFERROR(TO_PERCENT(COUNTIF(D9:N9,TRUE)/(COUNTIF(D9:N9,TRUE)+COUNTIF(D9:N9,FALSE))),""N/A""))"),1.0)</f>
        <v>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4" t="s">
        <v>32</v>
      </c>
      <c r="C10" s="4" t="s">
        <v>33</v>
      </c>
      <c r="D10" s="4" t="s">
        <v>17</v>
      </c>
      <c r="E10" s="4" t="s">
        <v>17</v>
      </c>
      <c r="F10" s="4" t="b">
        <v>1</v>
      </c>
      <c r="G10" s="4" t="b">
        <v>1</v>
      </c>
      <c r="H10" s="4" t="b">
        <v>1</v>
      </c>
      <c r="I10" s="4" t="s">
        <v>17</v>
      </c>
      <c r="J10" s="4" t="b">
        <v>1</v>
      </c>
      <c r="K10" s="4" t="b">
        <v>1</v>
      </c>
      <c r="L10" s="4" t="b">
        <v>1</v>
      </c>
      <c r="M10" s="4" t="b">
        <v>1</v>
      </c>
      <c r="N10" s="4" t="b">
        <v>1</v>
      </c>
      <c r="O10" s="5">
        <f>IFERROR(__xludf.DUMMYFUNCTION("IF(COUNTIF(D10:N10,""DISAGREE"")&gt;0,""DISCUSS"",IFERROR(TO_PERCENT(COUNTIF(D10:N10,TRUE)/(COUNTIF(D10:N10,TRUE)+COUNTIF(D10:N10,FALSE))),""N/A""))"),1.0)</f>
        <v>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10.0</v>
      </c>
      <c r="B11" s="4" t="s">
        <v>34</v>
      </c>
      <c r="C11" s="4" t="s">
        <v>35</v>
      </c>
      <c r="D11" s="4" t="b">
        <v>1</v>
      </c>
      <c r="E11" s="4" t="b">
        <v>1</v>
      </c>
      <c r="F11" s="4" t="b">
        <v>1</v>
      </c>
      <c r="G11" s="4" t="b">
        <v>1</v>
      </c>
      <c r="H11" s="4" t="b">
        <v>1</v>
      </c>
      <c r="I11" s="4" t="b">
        <v>0</v>
      </c>
      <c r="J11" s="4" t="b">
        <v>1</v>
      </c>
      <c r="K11" s="4" t="b">
        <v>0</v>
      </c>
      <c r="L11" s="4" t="b">
        <v>0</v>
      </c>
      <c r="M11" s="4" t="s">
        <v>17</v>
      </c>
      <c r="N11" s="4" t="b">
        <v>1</v>
      </c>
      <c r="O11" s="5">
        <f>IFERROR(__xludf.DUMMYFUNCTION("IF(COUNTIF(D11:N11,""DISAGREE"")&gt;0,""DISCUSS"",IFERROR(TO_PERCENT(COUNTIF(D11:N11,TRUE)/(COUNTIF(D11:N11,TRUE)+COUNTIF(D11:N11,FALSE))),""N/A""))"),0.7)</f>
        <v>0.7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4" t="s">
        <v>36</v>
      </c>
      <c r="C12" s="4" t="s">
        <v>37</v>
      </c>
      <c r="D12" s="4" t="b">
        <v>0</v>
      </c>
      <c r="E12" s="4" t="b">
        <v>1</v>
      </c>
      <c r="F12" s="4" t="b">
        <v>1</v>
      </c>
      <c r="G12" s="4" t="b">
        <v>1</v>
      </c>
      <c r="H12" s="4" t="b">
        <v>0</v>
      </c>
      <c r="I12" s="4" t="b">
        <v>0</v>
      </c>
      <c r="J12" s="4" t="b">
        <v>1</v>
      </c>
      <c r="K12" s="4" t="b">
        <v>1</v>
      </c>
      <c r="L12" s="4" t="b">
        <v>1</v>
      </c>
      <c r="M12" s="4" t="b">
        <v>0</v>
      </c>
      <c r="N12" s="4" t="b">
        <v>0</v>
      </c>
      <c r="O12" s="5">
        <f>IFERROR(__xludf.DUMMYFUNCTION("IF(COUNTIF(D12:N12,""DISAGREE"")&gt;0,""DISCUSS"",IFERROR(TO_PERCENT(COUNTIF(D12:N12,TRUE)/(COUNTIF(D12:N12,TRUE)+COUNTIF(D12:N12,FALSE))),""N/A""))"),0.5454545454545454)</f>
        <v>0.5454545455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12.0</v>
      </c>
      <c r="B13" s="4" t="s">
        <v>38</v>
      </c>
      <c r="C13" s="4" t="s">
        <v>39</v>
      </c>
      <c r="D13" s="4" t="s">
        <v>17</v>
      </c>
      <c r="E13" s="4" t="s">
        <v>17</v>
      </c>
      <c r="F13" s="4" t="b">
        <v>1</v>
      </c>
      <c r="G13" s="4" t="b">
        <v>1</v>
      </c>
      <c r="H13" s="4" t="b">
        <v>1</v>
      </c>
      <c r="I13" s="4" t="s">
        <v>17</v>
      </c>
      <c r="J13" s="4" t="b">
        <v>1</v>
      </c>
      <c r="K13" s="4" t="b">
        <v>1</v>
      </c>
      <c r="L13" s="4" t="b">
        <v>0</v>
      </c>
      <c r="M13" s="4" t="b">
        <v>0</v>
      </c>
      <c r="N13" s="4" t="b">
        <v>1</v>
      </c>
      <c r="O13" s="5">
        <f>IFERROR(__xludf.DUMMYFUNCTION("IF(COUNTIF(D13:N13,""DISAGREE"")&gt;0,""DISCUSS"",IFERROR(TO_PERCENT(COUNTIF(D13:N13,TRUE)/(COUNTIF(D13:N13,TRUE)+COUNTIF(D13:N13,FALSE))),""N/A""))"),0.75)</f>
        <v>0.75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13.0</v>
      </c>
      <c r="B14" s="4" t="s">
        <v>40</v>
      </c>
      <c r="C14" s="4" t="s">
        <v>41</v>
      </c>
      <c r="D14" s="4" t="b">
        <v>1</v>
      </c>
      <c r="E14" s="4" t="b">
        <v>1</v>
      </c>
      <c r="F14" s="4" t="b">
        <v>1</v>
      </c>
      <c r="G14" s="4" t="b">
        <v>1</v>
      </c>
      <c r="H14" s="4" t="b">
        <v>1</v>
      </c>
      <c r="I14" s="4" t="s">
        <v>17</v>
      </c>
      <c r="J14" s="4" t="b">
        <v>1</v>
      </c>
      <c r="K14" s="4" t="b">
        <v>1</v>
      </c>
      <c r="L14" s="4" t="b">
        <v>0</v>
      </c>
      <c r="M14" s="4" t="b">
        <v>1</v>
      </c>
      <c r="N14" s="4" t="b">
        <v>1</v>
      </c>
      <c r="O14" s="5">
        <f>IFERROR(__xludf.DUMMYFUNCTION("IF(COUNTIF(D14:N14,""DISAGREE"")&gt;0,""DISCUSS"",IFERROR(TO_PERCENT(COUNTIF(D14:N14,TRUE)/(COUNTIF(D14:N14,TRUE)+COUNTIF(D14:N14,FALSE))),""N/A""))"),0.9)</f>
        <v>0.9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14.0</v>
      </c>
      <c r="B15" s="4" t="s">
        <v>42</v>
      </c>
      <c r="C15" s="4" t="s">
        <v>43</v>
      </c>
      <c r="D15" s="4" t="s">
        <v>17</v>
      </c>
      <c r="E15" s="4" t="s">
        <v>17</v>
      </c>
      <c r="F15" s="4" t="b">
        <v>1</v>
      </c>
      <c r="G15" s="4" t="b">
        <v>1</v>
      </c>
      <c r="H15" s="4" t="b">
        <v>1</v>
      </c>
      <c r="I15" s="4" t="s">
        <v>17</v>
      </c>
      <c r="J15" s="4" t="b">
        <v>1</v>
      </c>
      <c r="K15" s="4" t="b">
        <v>1</v>
      </c>
      <c r="L15" s="4" t="b">
        <v>1</v>
      </c>
      <c r="M15" s="4" t="b">
        <v>0</v>
      </c>
      <c r="N15" s="4" t="b">
        <v>1</v>
      </c>
      <c r="O15" s="5">
        <f>IFERROR(__xludf.DUMMYFUNCTION("IF(COUNTIF(D15:N15,""DISAGREE"")&gt;0,""DISCUSS"",IFERROR(TO_PERCENT(COUNTIF(D15:N15,TRUE)/(COUNTIF(D15:N15,TRUE)+COUNTIF(D15:N15,FALSE))),""N/A""))"),0.875)</f>
        <v>0.875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15.0</v>
      </c>
      <c r="B16" s="4" t="s">
        <v>44</v>
      </c>
      <c r="C16" s="4" t="s">
        <v>45</v>
      </c>
      <c r="D16" s="4" t="s">
        <v>17</v>
      </c>
      <c r="E16" s="4" t="s">
        <v>17</v>
      </c>
      <c r="F16" s="4" t="b">
        <v>1</v>
      </c>
      <c r="G16" s="4" t="b">
        <v>1</v>
      </c>
      <c r="H16" s="4" t="b">
        <v>1</v>
      </c>
      <c r="I16" s="4" t="s">
        <v>17</v>
      </c>
      <c r="J16" s="4" t="b">
        <v>1</v>
      </c>
      <c r="K16" s="4" t="b">
        <v>1</v>
      </c>
      <c r="L16" s="4" t="b">
        <v>0</v>
      </c>
      <c r="M16" s="4" t="b">
        <v>1</v>
      </c>
      <c r="N16" s="4" t="b">
        <v>1</v>
      </c>
      <c r="O16" s="5">
        <f>IFERROR(__xludf.DUMMYFUNCTION("IF(COUNTIF(D16:N16,""DISAGREE"")&gt;0,""DISCUSS"",IFERROR(TO_PERCENT(COUNTIF(D16:N16,TRUE)/(COUNTIF(D16:N16,TRUE)+COUNTIF(D16:N16,FALSE))),""N/A""))"),0.875)</f>
        <v>0.875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16.0</v>
      </c>
      <c r="B17" s="4" t="s">
        <v>46</v>
      </c>
      <c r="C17" s="4" t="s">
        <v>47</v>
      </c>
      <c r="D17" s="4" t="s">
        <v>17</v>
      </c>
      <c r="E17" s="4" t="s">
        <v>17</v>
      </c>
      <c r="F17" s="4" t="b">
        <v>1</v>
      </c>
      <c r="G17" s="4" t="b">
        <v>1</v>
      </c>
      <c r="H17" s="4" t="b">
        <v>1</v>
      </c>
      <c r="I17" s="4" t="s">
        <v>17</v>
      </c>
      <c r="J17" s="4" t="b">
        <v>1</v>
      </c>
      <c r="K17" s="4" t="b">
        <v>1</v>
      </c>
      <c r="L17" s="4" t="b">
        <v>0</v>
      </c>
      <c r="M17" s="4" t="b">
        <v>1</v>
      </c>
      <c r="N17" s="4" t="b">
        <v>1</v>
      </c>
      <c r="O17" s="5">
        <f>IFERROR(__xludf.DUMMYFUNCTION("IF(COUNTIF(D17:N17,""DISAGREE"")&gt;0,""DISCUSS"",IFERROR(TO_PERCENT(COUNTIF(D17:N17,TRUE)/(COUNTIF(D17:N17,TRUE)+COUNTIF(D17:N17,FALSE))),""N/A""))"),0.875)</f>
        <v>0.875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17.0</v>
      </c>
      <c r="B18" s="4" t="s">
        <v>48</v>
      </c>
      <c r="C18" s="4" t="s">
        <v>49</v>
      </c>
      <c r="D18" s="4" t="s">
        <v>17</v>
      </c>
      <c r="E18" s="4" t="s">
        <v>17</v>
      </c>
      <c r="F18" s="4" t="b">
        <v>1</v>
      </c>
      <c r="G18" s="4" t="b">
        <v>1</v>
      </c>
      <c r="H18" s="4" t="b">
        <v>1</v>
      </c>
      <c r="I18" s="4" t="s">
        <v>17</v>
      </c>
      <c r="J18" s="4" t="b">
        <v>1</v>
      </c>
      <c r="K18" s="4" t="b">
        <v>1</v>
      </c>
      <c r="L18" s="4" t="b">
        <v>0</v>
      </c>
      <c r="M18" s="4" t="b">
        <v>1</v>
      </c>
      <c r="N18" s="4" t="b">
        <v>1</v>
      </c>
      <c r="O18" s="5">
        <f>IFERROR(__xludf.DUMMYFUNCTION("IF(COUNTIF(D18:N18,""DISAGREE"")&gt;0,""DISCUSS"",IFERROR(TO_PERCENT(COUNTIF(D18:N18,TRUE)/(COUNTIF(D18:N18,TRUE)+COUNTIF(D18:N18,FALSE))),""N/A""))"),0.875)</f>
        <v>0.875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18.0</v>
      </c>
      <c r="B19" s="4" t="s">
        <v>50</v>
      </c>
      <c r="C19" s="4" t="s">
        <v>51</v>
      </c>
      <c r="D19" s="4" t="b">
        <v>1</v>
      </c>
      <c r="E19" s="4" t="b">
        <v>1</v>
      </c>
      <c r="F19" s="4" t="b">
        <v>1</v>
      </c>
      <c r="G19" s="4" t="b">
        <v>1</v>
      </c>
      <c r="H19" s="4" t="b">
        <v>0</v>
      </c>
      <c r="I19" s="4" t="s">
        <v>17</v>
      </c>
      <c r="J19" s="4" t="b">
        <v>1</v>
      </c>
      <c r="K19" s="4" t="b">
        <v>1</v>
      </c>
      <c r="L19" s="4" t="b">
        <v>1</v>
      </c>
      <c r="M19" s="4" t="b">
        <v>0</v>
      </c>
      <c r="N19" s="4" t="b">
        <v>1</v>
      </c>
      <c r="O19" s="5">
        <f>IFERROR(__xludf.DUMMYFUNCTION("IF(COUNTIF(D19:N19,""DISAGREE"")&gt;0,""DISCUSS"",IFERROR(TO_PERCENT(COUNTIF(D19:N19,TRUE)/(COUNTIF(D19:N19,TRUE)+COUNTIF(D19:N19,FALSE))),""N/A""))"),0.8)</f>
        <v>0.8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19.0</v>
      </c>
      <c r="B20" s="4" t="s">
        <v>52</v>
      </c>
      <c r="C20" s="4" t="s">
        <v>53</v>
      </c>
      <c r="D20" s="4" t="b">
        <v>1</v>
      </c>
      <c r="E20" s="4" t="b">
        <v>1</v>
      </c>
      <c r="F20" s="4" t="b">
        <v>1</v>
      </c>
      <c r="G20" s="4" t="b">
        <v>1</v>
      </c>
      <c r="H20" s="4" t="b">
        <v>1</v>
      </c>
      <c r="I20" s="4" t="s">
        <v>17</v>
      </c>
      <c r="J20" s="4" t="b">
        <v>1</v>
      </c>
      <c r="K20" s="4" t="b">
        <v>1</v>
      </c>
      <c r="L20" s="4" t="b">
        <v>0</v>
      </c>
      <c r="M20" s="4" t="b">
        <v>1</v>
      </c>
      <c r="N20" s="4" t="b">
        <v>1</v>
      </c>
      <c r="O20" s="5">
        <f>IFERROR(__xludf.DUMMYFUNCTION("IF(COUNTIF(D20:N20,""DISAGREE"")&gt;0,""DISCUSS"",IFERROR(TO_PERCENT(COUNTIF(D20:N20,TRUE)/(COUNTIF(D20:N20,TRUE)+COUNTIF(D20:N20,FALSE))),""N/A""))"),0.9)</f>
        <v>0.9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20.0</v>
      </c>
      <c r="B21" s="4" t="s">
        <v>54</v>
      </c>
      <c r="C21" s="4" t="s">
        <v>55</v>
      </c>
      <c r="D21" s="4" t="b">
        <v>0</v>
      </c>
      <c r="E21" s="4" t="b">
        <v>1</v>
      </c>
      <c r="F21" s="4" t="b">
        <v>1</v>
      </c>
      <c r="G21" s="4" t="b">
        <v>1</v>
      </c>
      <c r="H21" s="4" t="b">
        <v>1</v>
      </c>
      <c r="I21" s="4" t="s">
        <v>17</v>
      </c>
      <c r="J21" s="4" t="b">
        <v>1</v>
      </c>
      <c r="K21" s="4" t="b">
        <v>1</v>
      </c>
      <c r="L21" s="4" t="b">
        <v>0</v>
      </c>
      <c r="M21" s="4" t="b">
        <v>0</v>
      </c>
      <c r="N21" s="4" t="b">
        <v>1</v>
      </c>
      <c r="O21" s="5">
        <f>IFERROR(__xludf.DUMMYFUNCTION("IF(COUNTIF(D21:N21,""DISAGREE"")&gt;0,""DISCUSS"",IFERROR(TO_PERCENT(COUNTIF(D21:N21,TRUE)/(COUNTIF(D21:N21,TRUE)+COUNTIF(D21:N21,FALSE))),""N/A""))"),0.7)</f>
        <v>0.7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21.0</v>
      </c>
      <c r="B22" s="4" t="s">
        <v>56</v>
      </c>
      <c r="C22" s="4" t="s">
        <v>57</v>
      </c>
      <c r="D22" s="4" t="s">
        <v>17</v>
      </c>
      <c r="E22" s="4" t="s">
        <v>17</v>
      </c>
      <c r="F22" s="4" t="b">
        <v>1</v>
      </c>
      <c r="G22" s="4" t="b">
        <v>1</v>
      </c>
      <c r="H22" s="4" t="b">
        <v>1</v>
      </c>
      <c r="I22" s="4" t="s">
        <v>17</v>
      </c>
      <c r="J22" s="4" t="b">
        <v>1</v>
      </c>
      <c r="K22" s="4" t="b">
        <v>1</v>
      </c>
      <c r="L22" s="4" t="b">
        <v>1</v>
      </c>
      <c r="M22" s="4" t="b">
        <v>1</v>
      </c>
      <c r="N22" s="4" t="b">
        <v>1</v>
      </c>
      <c r="O22" s="5">
        <f>IFERROR(__xludf.DUMMYFUNCTION("IF(COUNTIF(D22:N22,""DISAGREE"")&gt;0,""DISCUSS"",IFERROR(TO_PERCENT(COUNTIF(D22:N22,TRUE)/(COUNTIF(D22:N22,TRUE)+COUNTIF(D22:N22,FALSE))),""N/A""))"),1.0)</f>
        <v>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22.0</v>
      </c>
      <c r="B23" s="4" t="s">
        <v>58</v>
      </c>
      <c r="C23" s="4" t="s">
        <v>59</v>
      </c>
      <c r="D23" s="4" t="s">
        <v>17</v>
      </c>
      <c r="E23" s="4" t="s">
        <v>17</v>
      </c>
      <c r="F23" s="4" t="b">
        <v>1</v>
      </c>
      <c r="G23" s="4" t="b">
        <v>1</v>
      </c>
      <c r="H23" s="4" t="b">
        <v>1</v>
      </c>
      <c r="I23" s="4" t="s">
        <v>17</v>
      </c>
      <c r="J23" s="4" t="b">
        <v>1</v>
      </c>
      <c r="K23" s="4" t="b">
        <v>1</v>
      </c>
      <c r="L23" s="4" t="b">
        <v>1</v>
      </c>
      <c r="M23" s="4" t="b">
        <v>0</v>
      </c>
      <c r="N23" s="4" t="b">
        <v>1</v>
      </c>
      <c r="O23" s="5">
        <f>IFERROR(__xludf.DUMMYFUNCTION("IF(COUNTIF(D23:N23,""DISAGREE"")&gt;0,""DISCUSS"",IFERROR(TO_PERCENT(COUNTIF(D23:N23,TRUE)/(COUNTIF(D23:N23,TRUE)+COUNTIF(D23:N23,FALSE))),""N/A""))"),0.875)</f>
        <v>0.875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23.0</v>
      </c>
      <c r="B24" s="4" t="s">
        <v>60</v>
      </c>
      <c r="C24" s="4" t="s">
        <v>61</v>
      </c>
      <c r="D24" s="4" t="s">
        <v>17</v>
      </c>
      <c r="E24" s="4" t="s">
        <v>17</v>
      </c>
      <c r="F24" s="4" t="b">
        <v>1</v>
      </c>
      <c r="G24" s="4" t="b">
        <v>1</v>
      </c>
      <c r="H24" s="4" t="b">
        <v>1</v>
      </c>
      <c r="I24" s="4" t="s">
        <v>17</v>
      </c>
      <c r="J24" s="4" t="b">
        <v>1</v>
      </c>
      <c r="K24" s="4" t="b">
        <v>1</v>
      </c>
      <c r="L24" s="4" t="b">
        <v>1</v>
      </c>
      <c r="M24" s="4" t="b">
        <v>1</v>
      </c>
      <c r="N24" s="4" t="b">
        <v>1</v>
      </c>
      <c r="O24" s="5">
        <f>IFERROR(__xludf.DUMMYFUNCTION("IF(COUNTIF(D24:N24,""DISAGREE"")&gt;0,""DISCUSS"",IFERROR(TO_PERCENT(COUNTIF(D24:N24,TRUE)/(COUNTIF(D24:N24,TRUE)+COUNTIF(D24:N24,FALSE))),""N/A""))"),1.0)</f>
        <v>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24.0</v>
      </c>
      <c r="B25" s="4" t="s">
        <v>62</v>
      </c>
      <c r="C25" s="4" t="s">
        <v>63</v>
      </c>
      <c r="D25" s="4" t="s">
        <v>17</v>
      </c>
      <c r="E25" s="4" t="s">
        <v>17</v>
      </c>
      <c r="F25" s="4" t="b">
        <v>1</v>
      </c>
      <c r="G25" s="4" t="b">
        <v>1</v>
      </c>
      <c r="H25" s="4" t="b">
        <v>1</v>
      </c>
      <c r="I25" s="4" t="s">
        <v>17</v>
      </c>
      <c r="J25" s="4" t="b">
        <v>1</v>
      </c>
      <c r="K25" s="4" t="b">
        <v>1</v>
      </c>
      <c r="L25" s="4" t="b">
        <v>1</v>
      </c>
      <c r="M25" s="4" t="b">
        <v>1</v>
      </c>
      <c r="N25" s="4" t="b">
        <v>1</v>
      </c>
      <c r="O25" s="5">
        <f>IFERROR(__xludf.DUMMYFUNCTION("IF(COUNTIF(D25:N25,""DISAGREE"")&gt;0,""DISCUSS"",IFERROR(TO_PERCENT(COUNTIF(D25:N25,TRUE)/(COUNTIF(D25:N25,TRUE)+COUNTIF(D25:N25,FALSE))),""N/A""))"),1.0)</f>
        <v>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25.0</v>
      </c>
      <c r="B26" s="4" t="s">
        <v>64</v>
      </c>
      <c r="C26" s="4" t="s">
        <v>65</v>
      </c>
      <c r="D26" s="4" t="s">
        <v>17</v>
      </c>
      <c r="E26" s="4" t="s">
        <v>17</v>
      </c>
      <c r="F26" s="4" t="b">
        <v>1</v>
      </c>
      <c r="G26" s="4" t="b">
        <v>1</v>
      </c>
      <c r="H26" s="4" t="b">
        <v>1</v>
      </c>
      <c r="I26" s="4" t="s">
        <v>17</v>
      </c>
      <c r="J26" s="4" t="b">
        <v>1</v>
      </c>
      <c r="K26" s="4" t="b">
        <v>1</v>
      </c>
      <c r="L26" s="4" t="b">
        <v>0</v>
      </c>
      <c r="M26" s="4" t="b">
        <v>0</v>
      </c>
      <c r="N26" s="4" t="b">
        <v>1</v>
      </c>
      <c r="O26" s="5">
        <f>IFERROR(__xludf.DUMMYFUNCTION("IF(COUNTIF(D26:N26,""DISAGREE"")&gt;0,""DISCUSS"",IFERROR(TO_PERCENT(COUNTIF(D26:N26,TRUE)/(COUNTIF(D26:N26,TRUE)+COUNTIF(D26:N26,FALSE))),""N/A""))"),0.75)</f>
        <v>0.75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26.0</v>
      </c>
      <c r="B27" s="4" t="s">
        <v>66</v>
      </c>
      <c r="C27" s="4" t="s">
        <v>67</v>
      </c>
      <c r="D27" s="4" t="s">
        <v>17</v>
      </c>
      <c r="E27" s="4" t="s">
        <v>17</v>
      </c>
      <c r="F27" s="4" t="b">
        <v>1</v>
      </c>
      <c r="G27" s="4" t="b">
        <v>1</v>
      </c>
      <c r="H27" s="4" t="b">
        <v>1</v>
      </c>
      <c r="I27" s="4" t="s">
        <v>17</v>
      </c>
      <c r="J27" s="4" t="b">
        <v>1</v>
      </c>
      <c r="K27" s="4" t="b">
        <v>1</v>
      </c>
      <c r="L27" s="4" t="b">
        <v>1</v>
      </c>
      <c r="M27" s="4" t="b">
        <v>0</v>
      </c>
      <c r="N27" s="4" t="b">
        <v>1</v>
      </c>
      <c r="O27" s="5">
        <f>IFERROR(__xludf.DUMMYFUNCTION("IF(COUNTIF(D27:N27,""DISAGREE"")&gt;0,""DISCUSS"",IFERROR(TO_PERCENT(COUNTIF(D27:N27,TRUE)/(COUNTIF(D27:N27,TRUE)+COUNTIF(D27:N27,FALSE))),""N/A""))"),0.875)</f>
        <v>0.875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27.0</v>
      </c>
      <c r="B28" s="4" t="s">
        <v>68</v>
      </c>
      <c r="C28" s="4" t="s">
        <v>69</v>
      </c>
      <c r="D28" s="4" t="s">
        <v>17</v>
      </c>
      <c r="E28" s="4" t="s">
        <v>17</v>
      </c>
      <c r="F28" s="4" t="b">
        <v>1</v>
      </c>
      <c r="G28" s="4" t="b">
        <v>1</v>
      </c>
      <c r="H28" s="4" t="b">
        <v>1</v>
      </c>
      <c r="I28" s="4" t="b">
        <v>1</v>
      </c>
      <c r="J28" s="4" t="b">
        <v>1</v>
      </c>
      <c r="K28" s="4" t="b">
        <v>1</v>
      </c>
      <c r="L28" s="4" t="b">
        <v>1</v>
      </c>
      <c r="M28" s="4" t="b">
        <v>1</v>
      </c>
      <c r="N28" s="4" t="b">
        <v>1</v>
      </c>
      <c r="O28" s="5">
        <f>IFERROR(__xludf.DUMMYFUNCTION("IF(COUNTIF(D28:N28,""DISAGREE"")&gt;0,""DISCUSS"",IFERROR(TO_PERCENT(COUNTIF(D28:N28,TRUE)/(COUNTIF(D28:N28,TRUE)+COUNTIF(D28:N28,FALSE))),""N/A""))"),1.0)</f>
        <v>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28.0</v>
      </c>
      <c r="B29" s="4" t="s">
        <v>70</v>
      </c>
      <c r="C29" s="4" t="s">
        <v>71</v>
      </c>
      <c r="D29" s="4" t="s">
        <v>17</v>
      </c>
      <c r="E29" s="4" t="s">
        <v>17</v>
      </c>
      <c r="F29" s="4" t="b">
        <v>1</v>
      </c>
      <c r="G29" s="4" t="b">
        <v>1</v>
      </c>
      <c r="H29" s="4" t="b">
        <v>1</v>
      </c>
      <c r="I29" s="4" t="s">
        <v>17</v>
      </c>
      <c r="J29" s="4" t="b">
        <v>1</v>
      </c>
      <c r="K29" s="4" t="b">
        <v>1</v>
      </c>
      <c r="L29" s="4" t="b">
        <v>0</v>
      </c>
      <c r="M29" s="4" t="b">
        <v>0</v>
      </c>
      <c r="N29" s="4" t="b">
        <v>1</v>
      </c>
      <c r="O29" s="5">
        <f>IFERROR(__xludf.DUMMYFUNCTION("IF(COUNTIF(D29:N29,""DISAGREE"")&gt;0,""DISCUSS"",IFERROR(TO_PERCENT(COUNTIF(D29:N29,TRUE)/(COUNTIF(D29:N29,TRUE)+COUNTIF(D29:N29,FALSE))),""N/A""))"),0.75)</f>
        <v>0.75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29.0</v>
      </c>
      <c r="B30" s="4" t="s">
        <v>72</v>
      </c>
      <c r="C30" s="4" t="s">
        <v>73</v>
      </c>
      <c r="D30" s="4" t="s">
        <v>17</v>
      </c>
      <c r="E30" s="4" t="s">
        <v>17</v>
      </c>
      <c r="F30" s="4" t="b">
        <v>1</v>
      </c>
      <c r="G30" s="4" t="b">
        <v>1</v>
      </c>
      <c r="H30" s="4" t="b">
        <v>1</v>
      </c>
      <c r="I30" s="4" t="s">
        <v>17</v>
      </c>
      <c r="J30" s="4" t="b">
        <v>1</v>
      </c>
      <c r="K30" s="4" t="b">
        <v>1</v>
      </c>
      <c r="L30" s="4" t="b">
        <v>0</v>
      </c>
      <c r="M30" s="4" t="b">
        <v>1</v>
      </c>
      <c r="N30" s="4" t="b">
        <v>1</v>
      </c>
      <c r="O30" s="5">
        <f>IFERROR(__xludf.DUMMYFUNCTION("IF(COUNTIF(D30:N30,""DISAGREE"")&gt;0,""DISCUSS"",IFERROR(TO_PERCENT(COUNTIF(D30:N30,TRUE)/(COUNTIF(D30:N30,TRUE)+COUNTIF(D30:N30,FALSE))),""N/A""))"),0.875)</f>
        <v>0.875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30.0</v>
      </c>
      <c r="B31" s="4" t="s">
        <v>74</v>
      </c>
      <c r="C31" s="4" t="s">
        <v>75</v>
      </c>
      <c r="D31" s="4" t="b">
        <v>1</v>
      </c>
      <c r="E31" s="4" t="b">
        <v>1</v>
      </c>
      <c r="F31" s="4" t="b">
        <v>1</v>
      </c>
      <c r="G31" s="4" t="b">
        <v>1</v>
      </c>
      <c r="H31" s="4" t="b">
        <v>1</v>
      </c>
      <c r="I31" s="4" t="s">
        <v>17</v>
      </c>
      <c r="J31" s="4" t="b">
        <v>1</v>
      </c>
      <c r="K31" s="4" t="b">
        <v>1</v>
      </c>
      <c r="L31" s="4" t="b">
        <v>0</v>
      </c>
      <c r="M31" s="4" t="b">
        <v>1</v>
      </c>
      <c r="N31" s="4" t="b">
        <v>1</v>
      </c>
      <c r="O31" s="5">
        <f>IFERROR(__xludf.DUMMYFUNCTION("IF(COUNTIF(D31:N31,""DISAGREE"")&gt;0,""DISCUSS"",IFERROR(TO_PERCENT(COUNTIF(D31:N31,TRUE)/(COUNTIF(D31:N31,TRUE)+COUNTIF(D31:N31,FALSE))),""N/A""))"),0.9)</f>
        <v>0.9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31.0</v>
      </c>
      <c r="B32" s="4" t="s">
        <v>76</v>
      </c>
      <c r="C32" s="4" t="s">
        <v>77</v>
      </c>
      <c r="D32" s="4" t="s">
        <v>17</v>
      </c>
      <c r="E32" s="4" t="s">
        <v>17</v>
      </c>
      <c r="F32" s="4" t="b">
        <v>1</v>
      </c>
      <c r="G32" s="4" t="b">
        <v>1</v>
      </c>
      <c r="H32" s="4" t="b">
        <v>1</v>
      </c>
      <c r="I32" s="4" t="s">
        <v>17</v>
      </c>
      <c r="J32" s="4" t="b">
        <v>1</v>
      </c>
      <c r="K32" s="4" t="b">
        <v>1</v>
      </c>
      <c r="L32" s="4" t="b">
        <v>0</v>
      </c>
      <c r="M32" s="4" t="b">
        <v>1</v>
      </c>
      <c r="N32" s="4" t="b">
        <v>1</v>
      </c>
      <c r="O32" s="5">
        <f>IFERROR(__xludf.DUMMYFUNCTION("IF(COUNTIF(D32:N32,""DISAGREE"")&gt;0,""DISCUSS"",IFERROR(TO_PERCENT(COUNTIF(D32:N32,TRUE)/(COUNTIF(D32:N32,TRUE)+COUNTIF(D32:N32,FALSE))),""N/A""))"),0.875)</f>
        <v>0.875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32.0</v>
      </c>
      <c r="B33" s="4" t="s">
        <v>78</v>
      </c>
      <c r="C33" s="4" t="s">
        <v>79</v>
      </c>
      <c r="D33" s="4" t="s">
        <v>17</v>
      </c>
      <c r="E33" s="4" t="s">
        <v>17</v>
      </c>
      <c r="F33" s="4" t="b">
        <v>1</v>
      </c>
      <c r="G33" s="4" t="b">
        <v>1</v>
      </c>
      <c r="H33" s="4" t="b">
        <v>0</v>
      </c>
      <c r="I33" s="4" t="s">
        <v>17</v>
      </c>
      <c r="J33" s="4" t="b">
        <v>1</v>
      </c>
      <c r="K33" s="4" t="b">
        <v>1</v>
      </c>
      <c r="L33" s="4" t="b">
        <v>0</v>
      </c>
      <c r="M33" s="4" t="b">
        <v>1</v>
      </c>
      <c r="N33" s="4" t="b">
        <v>1</v>
      </c>
      <c r="O33" s="5">
        <f>IFERROR(__xludf.DUMMYFUNCTION("IF(COUNTIF(D33:N33,""DISAGREE"")&gt;0,""DISCUSS"",IFERROR(TO_PERCENT(COUNTIF(D33:N33,TRUE)/(COUNTIF(D33:N33,TRUE)+COUNTIF(D33:N33,FALSE))),""N/A""))"),0.75)</f>
        <v>0.75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33.0</v>
      </c>
      <c r="B34" s="4" t="s">
        <v>80</v>
      </c>
      <c r="C34" s="4" t="s">
        <v>81</v>
      </c>
      <c r="D34" s="4" t="s">
        <v>17</v>
      </c>
      <c r="E34" s="4" t="s">
        <v>17</v>
      </c>
      <c r="F34" s="4" t="b">
        <v>1</v>
      </c>
      <c r="G34" s="4" t="b">
        <v>1</v>
      </c>
      <c r="H34" s="4" t="b">
        <v>1</v>
      </c>
      <c r="I34" s="4" t="s">
        <v>17</v>
      </c>
      <c r="J34" s="4" t="b">
        <v>1</v>
      </c>
      <c r="K34" s="4" t="b">
        <v>1</v>
      </c>
      <c r="L34" s="4" t="b">
        <v>1</v>
      </c>
      <c r="M34" s="4" t="b">
        <v>1</v>
      </c>
      <c r="N34" s="4" t="b">
        <v>1</v>
      </c>
      <c r="O34" s="5">
        <f>IFERROR(__xludf.DUMMYFUNCTION("IF(COUNTIF(D34:N34,""DISAGREE"")&gt;0,""DISCUSS"",IFERROR(TO_PERCENT(COUNTIF(D34:N34,TRUE)/(COUNTIF(D34:N34,TRUE)+COUNTIF(D34:N34,FALSE))),""N/A""))"),1.0)</f>
        <v>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34.0</v>
      </c>
      <c r="B35" s="4" t="s">
        <v>82</v>
      </c>
      <c r="C35" s="4" t="s">
        <v>83</v>
      </c>
      <c r="D35" s="4" t="s">
        <v>17</v>
      </c>
      <c r="E35" s="4" t="s">
        <v>17</v>
      </c>
      <c r="F35" s="4" t="b">
        <v>1</v>
      </c>
      <c r="G35" s="4" t="b">
        <v>1</v>
      </c>
      <c r="H35" s="4" t="b">
        <v>1</v>
      </c>
      <c r="I35" s="4" t="s">
        <v>17</v>
      </c>
      <c r="J35" s="4" t="b">
        <v>1</v>
      </c>
      <c r="K35" s="4" t="b">
        <v>1</v>
      </c>
      <c r="L35" s="4" t="b">
        <v>0</v>
      </c>
      <c r="M35" s="4" t="b">
        <v>1</v>
      </c>
      <c r="N35" s="4" t="b">
        <v>1</v>
      </c>
      <c r="O35" s="5">
        <f>IFERROR(__xludf.DUMMYFUNCTION("IF(COUNTIF(D35:N35,""DISAGREE"")&gt;0,""DISCUSS"",IFERROR(TO_PERCENT(COUNTIF(D35:N35,TRUE)/(COUNTIF(D35:N35,TRUE)+COUNTIF(D35:N35,FALSE))),""N/A""))"),0.875)</f>
        <v>0.875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35.0</v>
      </c>
      <c r="B36" s="4" t="s">
        <v>84</v>
      </c>
      <c r="C36" s="4" t="s">
        <v>85</v>
      </c>
      <c r="D36" s="4" t="s">
        <v>17</v>
      </c>
      <c r="E36" s="4" t="s">
        <v>17</v>
      </c>
      <c r="F36" s="4" t="b">
        <v>1</v>
      </c>
      <c r="G36" s="4" t="b">
        <v>1</v>
      </c>
      <c r="H36" s="4" t="b">
        <v>1</v>
      </c>
      <c r="I36" s="4" t="s">
        <v>17</v>
      </c>
      <c r="J36" s="4" t="b">
        <v>1</v>
      </c>
      <c r="K36" s="4" t="b">
        <v>1</v>
      </c>
      <c r="L36" s="4" t="b">
        <v>1</v>
      </c>
      <c r="M36" s="4" t="b">
        <v>1</v>
      </c>
      <c r="N36" s="4" t="b">
        <v>1</v>
      </c>
      <c r="O36" s="5">
        <f>IFERROR(__xludf.DUMMYFUNCTION("IF(COUNTIF(D36:N36,""DISAGREE"")&gt;0,""DISCUSS"",IFERROR(TO_PERCENT(COUNTIF(D36:N36,TRUE)/(COUNTIF(D36:N36,TRUE)+COUNTIF(D36:N36,FALSE))),""N/A""))"),1.0)</f>
        <v>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36.0</v>
      </c>
      <c r="B37" s="4" t="s">
        <v>86</v>
      </c>
      <c r="C37" s="4" t="s">
        <v>87</v>
      </c>
      <c r="D37" s="4" t="s">
        <v>17</v>
      </c>
      <c r="E37" s="4" t="s">
        <v>17</v>
      </c>
      <c r="F37" s="4" t="b">
        <v>1</v>
      </c>
      <c r="G37" s="4" t="b">
        <v>1</v>
      </c>
      <c r="H37" s="4" t="b">
        <v>1</v>
      </c>
      <c r="I37" s="4" t="s">
        <v>17</v>
      </c>
      <c r="J37" s="4" t="b">
        <v>1</v>
      </c>
      <c r="K37" s="4" t="b">
        <v>1</v>
      </c>
      <c r="L37" s="4" t="b">
        <v>1</v>
      </c>
      <c r="M37" s="4" t="b">
        <v>1</v>
      </c>
      <c r="N37" s="4" t="b">
        <v>1</v>
      </c>
      <c r="O37" s="5">
        <f>IFERROR(__xludf.DUMMYFUNCTION("IF(COUNTIF(D37:N37,""DISAGREE"")&gt;0,""DISCUSS"",IFERROR(TO_PERCENT(COUNTIF(D37:N37,TRUE)/(COUNTIF(D37:N37,TRUE)+COUNTIF(D37:N37,FALSE))),""N/A""))"),1.0)</f>
        <v>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37.0</v>
      </c>
      <c r="B38" s="4" t="s">
        <v>88</v>
      </c>
      <c r="C38" s="4" t="s">
        <v>89</v>
      </c>
      <c r="D38" s="4" t="s">
        <v>17</v>
      </c>
      <c r="E38" s="4" t="s">
        <v>17</v>
      </c>
      <c r="F38" s="4" t="b">
        <v>1</v>
      </c>
      <c r="G38" s="4" t="b">
        <v>1</v>
      </c>
      <c r="H38" s="4" t="b">
        <v>1</v>
      </c>
      <c r="I38" s="4" t="s">
        <v>17</v>
      </c>
      <c r="J38" s="4" t="b">
        <v>1</v>
      </c>
      <c r="K38" s="4" t="b">
        <v>1</v>
      </c>
      <c r="L38" s="4" t="b">
        <v>1</v>
      </c>
      <c r="M38" s="4" t="b">
        <v>1</v>
      </c>
      <c r="N38" s="4" t="b">
        <v>1</v>
      </c>
      <c r="O38" s="5">
        <f>IFERROR(__xludf.DUMMYFUNCTION("IF(COUNTIF(D38:N38,""DISAGREE"")&gt;0,""DISCUSS"",IFERROR(TO_PERCENT(COUNTIF(D38:N38,TRUE)/(COUNTIF(D38:N38,TRUE)+COUNTIF(D38:N38,FALSE))),""N/A""))"),1.0)</f>
        <v>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38.0</v>
      </c>
      <c r="B39" s="4" t="s">
        <v>90</v>
      </c>
      <c r="C39" s="4" t="s">
        <v>91</v>
      </c>
      <c r="D39" s="4" t="s">
        <v>17</v>
      </c>
      <c r="E39" s="4" t="s">
        <v>17</v>
      </c>
      <c r="F39" s="4" t="b">
        <v>1</v>
      </c>
      <c r="G39" s="4" t="b">
        <v>1</v>
      </c>
      <c r="H39" s="4" t="b">
        <v>1</v>
      </c>
      <c r="I39" s="4" t="s">
        <v>17</v>
      </c>
      <c r="J39" s="4" t="b">
        <v>1</v>
      </c>
      <c r="K39" s="4" t="b">
        <v>1</v>
      </c>
      <c r="L39" s="4" t="b">
        <v>1</v>
      </c>
      <c r="M39" s="4" t="b">
        <v>0</v>
      </c>
      <c r="N39" s="4" t="b">
        <v>1</v>
      </c>
      <c r="O39" s="5">
        <f>IFERROR(__xludf.DUMMYFUNCTION("IF(COUNTIF(D39:N39,""DISAGREE"")&gt;0,""DISCUSS"",IFERROR(TO_PERCENT(COUNTIF(D39:N39,TRUE)/(COUNTIF(D39:N39,TRUE)+COUNTIF(D39:N39,FALSE))),""N/A""))"),0.875)</f>
        <v>0.875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39.0</v>
      </c>
      <c r="B40" s="4" t="s">
        <v>92</v>
      </c>
      <c r="C40" s="4" t="s">
        <v>93</v>
      </c>
      <c r="D40" s="4" t="s">
        <v>17</v>
      </c>
      <c r="E40" s="4" t="s">
        <v>17</v>
      </c>
      <c r="F40" s="4" t="b">
        <v>1</v>
      </c>
      <c r="G40" s="4" t="b">
        <v>1</v>
      </c>
      <c r="H40" s="4" t="b">
        <v>1</v>
      </c>
      <c r="I40" s="4" t="b">
        <v>0</v>
      </c>
      <c r="J40" s="4" t="b">
        <v>1</v>
      </c>
      <c r="K40" s="4" t="b">
        <v>1</v>
      </c>
      <c r="L40" s="4" t="b">
        <v>1</v>
      </c>
      <c r="M40" s="4" t="b">
        <v>1</v>
      </c>
      <c r="N40" s="4" t="b">
        <v>1</v>
      </c>
      <c r="O40" s="5">
        <f>IFERROR(__xludf.DUMMYFUNCTION("IF(COUNTIF(D40:N40,""DISAGREE"")&gt;0,""DISCUSS"",IFERROR(TO_PERCENT(COUNTIF(D40:N40,TRUE)/(COUNTIF(D40:N40,TRUE)+COUNTIF(D40:N40,FALSE))),""N/A""))"),0.8888888888888888)</f>
        <v>0.8888888889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40.0</v>
      </c>
      <c r="B41" s="4" t="s">
        <v>94</v>
      </c>
      <c r="C41" s="4" t="s">
        <v>95</v>
      </c>
      <c r="D41" s="4" t="s">
        <v>17</v>
      </c>
      <c r="E41" s="4" t="s">
        <v>17</v>
      </c>
      <c r="F41" s="4" t="b">
        <v>1</v>
      </c>
      <c r="G41" s="4" t="b">
        <v>1</v>
      </c>
      <c r="H41" s="4" t="b">
        <v>1</v>
      </c>
      <c r="I41" s="4" t="s">
        <v>17</v>
      </c>
      <c r="J41" s="4" t="b">
        <v>1</v>
      </c>
      <c r="K41" s="4" t="b">
        <v>1</v>
      </c>
      <c r="L41" s="4" t="b">
        <v>0</v>
      </c>
      <c r="M41" s="4" t="b">
        <v>1</v>
      </c>
      <c r="N41" s="4" t="b">
        <v>1</v>
      </c>
      <c r="O41" s="5">
        <f>IFERROR(__xludf.DUMMYFUNCTION("IF(COUNTIF(D41:N41,""DISAGREE"")&gt;0,""DISCUSS"",IFERROR(TO_PERCENT(COUNTIF(D41:N41,TRUE)/(COUNTIF(D41:N41,TRUE)+COUNTIF(D41:N41,FALSE))),""N/A""))"),0.875)</f>
        <v>0.875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41.0</v>
      </c>
      <c r="B42" s="4" t="s">
        <v>96</v>
      </c>
      <c r="C42" s="4" t="s">
        <v>97</v>
      </c>
      <c r="D42" s="4" t="s">
        <v>17</v>
      </c>
      <c r="E42" s="4" t="s">
        <v>17</v>
      </c>
      <c r="F42" s="4" t="b">
        <v>1</v>
      </c>
      <c r="G42" s="4" t="b">
        <v>1</v>
      </c>
      <c r="H42" s="4" t="b">
        <v>1</v>
      </c>
      <c r="I42" s="4" t="s">
        <v>17</v>
      </c>
      <c r="J42" s="4" t="b">
        <v>1</v>
      </c>
      <c r="K42" s="4" t="b">
        <v>1</v>
      </c>
      <c r="L42" s="4" t="b">
        <v>0</v>
      </c>
      <c r="M42" s="4" t="b">
        <v>1</v>
      </c>
      <c r="N42" s="4" t="b">
        <v>1</v>
      </c>
      <c r="O42" s="5">
        <f>IFERROR(__xludf.DUMMYFUNCTION("IF(COUNTIF(D42:N42,""DISAGREE"")&gt;0,""DISCUSS"",IFERROR(TO_PERCENT(COUNTIF(D42:N42,TRUE)/(COUNTIF(D42:N42,TRUE)+COUNTIF(D42:N42,FALSE))),""N/A""))"),0.875)</f>
        <v>0.875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42.0</v>
      </c>
      <c r="B43" s="4" t="s">
        <v>98</v>
      </c>
      <c r="C43" s="4" t="s">
        <v>99</v>
      </c>
      <c r="D43" s="4" t="s">
        <v>17</v>
      </c>
      <c r="E43" s="4" t="s">
        <v>17</v>
      </c>
      <c r="F43" s="4" t="b">
        <v>1</v>
      </c>
      <c r="G43" s="4" t="b">
        <v>1</v>
      </c>
      <c r="H43" s="4" t="b">
        <v>1</v>
      </c>
      <c r="I43" s="4" t="s">
        <v>17</v>
      </c>
      <c r="J43" s="4" t="b">
        <v>1</v>
      </c>
      <c r="K43" s="4" t="b">
        <v>1</v>
      </c>
      <c r="L43" s="4" t="b">
        <v>1</v>
      </c>
      <c r="M43" s="4" t="b">
        <v>1</v>
      </c>
      <c r="N43" s="4" t="b">
        <v>1</v>
      </c>
      <c r="O43" s="5">
        <f>IFERROR(__xludf.DUMMYFUNCTION("IF(COUNTIF(D43:N43,""DISAGREE"")&gt;0,""DISCUSS"",IFERROR(TO_PERCENT(COUNTIF(D43:N43,TRUE)/(COUNTIF(D43:N43,TRUE)+COUNTIF(D43:N43,FALSE))),""N/A""))"),1.0)</f>
        <v>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43.0</v>
      </c>
      <c r="B44" s="4" t="s">
        <v>100</v>
      </c>
      <c r="C44" s="4" t="s">
        <v>101</v>
      </c>
      <c r="D44" s="4" t="b">
        <v>1</v>
      </c>
      <c r="E44" s="4" t="b">
        <v>1</v>
      </c>
      <c r="F44" s="4" t="b">
        <v>1</v>
      </c>
      <c r="G44" s="4" t="b">
        <v>1</v>
      </c>
      <c r="H44" s="4" t="b">
        <v>0</v>
      </c>
      <c r="I44" s="4" t="s">
        <v>17</v>
      </c>
      <c r="J44" s="4" t="b">
        <v>1</v>
      </c>
      <c r="K44" s="4" t="b">
        <v>1</v>
      </c>
      <c r="L44" s="4" t="b">
        <v>0</v>
      </c>
      <c r="M44" s="4" t="b">
        <v>0</v>
      </c>
      <c r="N44" s="4" t="b">
        <v>1</v>
      </c>
      <c r="O44" s="5">
        <f>IFERROR(__xludf.DUMMYFUNCTION("IF(COUNTIF(D44:N44,""DISAGREE"")&gt;0,""DISCUSS"",IFERROR(TO_PERCENT(COUNTIF(D44:N44,TRUE)/(COUNTIF(D44:N44,TRUE)+COUNTIF(D44:N44,FALSE))),""N/A""))"),0.7)</f>
        <v>0.7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44.0</v>
      </c>
      <c r="B45" s="4" t="s">
        <v>102</v>
      </c>
      <c r="C45" s="4" t="s">
        <v>103</v>
      </c>
      <c r="D45" s="4" t="s">
        <v>17</v>
      </c>
      <c r="E45" s="4" t="s">
        <v>17</v>
      </c>
      <c r="F45" s="4" t="b">
        <v>1</v>
      </c>
      <c r="G45" s="4" t="b">
        <v>1</v>
      </c>
      <c r="H45" s="4" t="b">
        <v>1</v>
      </c>
      <c r="I45" s="4" t="s">
        <v>17</v>
      </c>
      <c r="J45" s="4" t="b">
        <v>1</v>
      </c>
      <c r="K45" s="4" t="b">
        <v>1</v>
      </c>
      <c r="L45" s="4" t="b">
        <v>0</v>
      </c>
      <c r="M45" s="4" t="b">
        <v>1</v>
      </c>
      <c r="N45" s="4" t="b">
        <v>1</v>
      </c>
      <c r="O45" s="5">
        <f>IFERROR(__xludf.DUMMYFUNCTION("IF(COUNTIF(D45:N45,""DISAGREE"")&gt;0,""DISCUSS"",IFERROR(TO_PERCENT(COUNTIF(D45:N45,TRUE)/(COUNTIF(D45:N45,TRUE)+COUNTIF(D45:N45,FALSE))),""N/A""))"),0.875)</f>
        <v>0.875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45.0</v>
      </c>
      <c r="B46" s="4" t="s">
        <v>104</v>
      </c>
      <c r="C46" s="4" t="s">
        <v>105</v>
      </c>
      <c r="D46" s="4" t="s">
        <v>17</v>
      </c>
      <c r="E46" s="4" t="s">
        <v>17</v>
      </c>
      <c r="F46" s="4" t="b">
        <v>1</v>
      </c>
      <c r="G46" s="4" t="b">
        <v>1</v>
      </c>
      <c r="H46" s="4" t="b">
        <v>1</v>
      </c>
      <c r="I46" s="4" t="s">
        <v>17</v>
      </c>
      <c r="J46" s="4" t="b">
        <v>1</v>
      </c>
      <c r="K46" s="4" t="b">
        <v>1</v>
      </c>
      <c r="L46" s="4" t="b">
        <v>1</v>
      </c>
      <c r="M46" s="4" t="s">
        <v>17</v>
      </c>
      <c r="N46" s="4" t="b">
        <v>1</v>
      </c>
      <c r="O46" s="5">
        <f>IFERROR(__xludf.DUMMYFUNCTION("IF(COUNTIF(D46:N46,""DISAGREE"")&gt;0,""DISCUSS"",IFERROR(TO_PERCENT(COUNTIF(D46:N46,TRUE)/(COUNTIF(D46:N46,TRUE)+COUNTIF(D46:N46,FALSE))),""N/A""))"),1.0)</f>
        <v>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46.0</v>
      </c>
      <c r="B47" s="4" t="s">
        <v>106</v>
      </c>
      <c r="C47" s="4" t="s">
        <v>107</v>
      </c>
      <c r="D47" s="4" t="s">
        <v>17</v>
      </c>
      <c r="E47" s="4" t="s">
        <v>17</v>
      </c>
      <c r="F47" s="4" t="b">
        <v>1</v>
      </c>
      <c r="G47" s="4" t="b">
        <v>1</v>
      </c>
      <c r="H47" s="4" t="b">
        <v>1</v>
      </c>
      <c r="I47" s="4" t="s">
        <v>17</v>
      </c>
      <c r="J47" s="4" t="b">
        <v>1</v>
      </c>
      <c r="K47" s="4" t="b">
        <v>1</v>
      </c>
      <c r="L47" s="4" t="b">
        <v>1</v>
      </c>
      <c r="M47" s="4" t="b">
        <v>1</v>
      </c>
      <c r="N47" s="4" t="b">
        <v>1</v>
      </c>
      <c r="O47" s="5">
        <f>IFERROR(__xludf.DUMMYFUNCTION("IF(COUNTIF(D47:N47,""DISAGREE"")&gt;0,""DISCUSS"",IFERROR(TO_PERCENT(COUNTIF(D47:N47,TRUE)/(COUNTIF(D47:N47,TRUE)+COUNTIF(D47:N47,FALSE))),""N/A""))"),1.0)</f>
        <v>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47.0</v>
      </c>
      <c r="B48" s="4" t="s">
        <v>108</v>
      </c>
      <c r="C48" s="4" t="s">
        <v>109</v>
      </c>
      <c r="D48" s="4" t="b">
        <v>0</v>
      </c>
      <c r="E48" s="4" t="b">
        <v>1</v>
      </c>
      <c r="F48" s="4" t="b">
        <v>1</v>
      </c>
      <c r="G48" s="4" t="b">
        <v>1</v>
      </c>
      <c r="H48" s="4" t="b">
        <v>1</v>
      </c>
      <c r="I48" s="4" t="s">
        <v>17</v>
      </c>
      <c r="J48" s="4" t="b">
        <v>1</v>
      </c>
      <c r="K48" s="4" t="b">
        <v>1</v>
      </c>
      <c r="L48" s="4" t="b">
        <v>1</v>
      </c>
      <c r="M48" s="4" t="b">
        <v>0</v>
      </c>
      <c r="N48" s="4" t="b">
        <v>1</v>
      </c>
      <c r="O48" s="5">
        <f>IFERROR(__xludf.DUMMYFUNCTION("IF(COUNTIF(D48:N48,""DISAGREE"")&gt;0,""DISCUSS"",IFERROR(TO_PERCENT(COUNTIF(D48:N48,TRUE)/(COUNTIF(D48:N48,TRUE)+COUNTIF(D48:N48,FALSE))),""N/A""))"),0.8)</f>
        <v>0.8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48.0</v>
      </c>
      <c r="B49" s="4" t="s">
        <v>110</v>
      </c>
      <c r="C49" s="4" t="s">
        <v>111</v>
      </c>
      <c r="D49" s="4" t="s">
        <v>17</v>
      </c>
      <c r="E49" s="4" t="s">
        <v>17</v>
      </c>
      <c r="F49" s="4" t="b">
        <v>1</v>
      </c>
      <c r="G49" s="4" t="b">
        <v>1</v>
      </c>
      <c r="H49" s="4" t="b">
        <v>1</v>
      </c>
      <c r="I49" s="4" t="b">
        <v>1</v>
      </c>
      <c r="J49" s="4" t="b">
        <v>1</v>
      </c>
      <c r="K49" s="4" t="b">
        <v>1</v>
      </c>
      <c r="L49" s="4" t="b">
        <v>1</v>
      </c>
      <c r="M49" s="4" t="b">
        <v>0</v>
      </c>
      <c r="N49" s="4" t="b">
        <v>1</v>
      </c>
      <c r="O49" s="5">
        <f>IFERROR(__xludf.DUMMYFUNCTION("IF(COUNTIF(D49:N49,""DISAGREE"")&gt;0,""DISCUSS"",IFERROR(TO_PERCENT(COUNTIF(D49:N49,TRUE)/(COUNTIF(D49:N49,TRUE)+COUNTIF(D49:N49,FALSE))),""N/A""))"),0.8888888888888888)</f>
        <v>0.8888888889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49.0</v>
      </c>
      <c r="B50" s="4" t="s">
        <v>112</v>
      </c>
      <c r="C50" s="4" t="s">
        <v>113</v>
      </c>
      <c r="D50" s="4" t="s">
        <v>17</v>
      </c>
      <c r="E50" s="4" t="s">
        <v>17</v>
      </c>
      <c r="F50" s="4" t="b">
        <v>1</v>
      </c>
      <c r="G50" s="4" t="b">
        <v>1</v>
      </c>
      <c r="H50" s="4" t="b">
        <v>1</v>
      </c>
      <c r="I50" s="4" t="s">
        <v>17</v>
      </c>
      <c r="J50" s="4" t="b">
        <v>1</v>
      </c>
      <c r="K50" s="4" t="b">
        <v>1</v>
      </c>
      <c r="L50" s="4" t="b">
        <v>0</v>
      </c>
      <c r="M50" s="4" t="b">
        <v>0</v>
      </c>
      <c r="N50" s="4" t="b">
        <v>1</v>
      </c>
      <c r="O50" s="5">
        <f>IFERROR(__xludf.DUMMYFUNCTION("IF(COUNTIF(D50:N50,""DISAGREE"")&gt;0,""DISCUSS"",IFERROR(TO_PERCENT(COUNTIF(D50:N50,TRUE)/(COUNTIF(D50:N50,TRUE)+COUNTIF(D50:N50,FALSE))),""N/A""))"),0.75)</f>
        <v>0.75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50.0</v>
      </c>
      <c r="B51" s="4" t="s">
        <v>114</v>
      </c>
      <c r="C51" s="4" t="s">
        <v>115</v>
      </c>
      <c r="D51" s="4" t="b">
        <v>1</v>
      </c>
      <c r="E51" s="4" t="b">
        <v>1</v>
      </c>
      <c r="F51" s="4" t="b">
        <v>1</v>
      </c>
      <c r="G51" s="4" t="b">
        <v>1</v>
      </c>
      <c r="H51" s="4" t="b">
        <v>1</v>
      </c>
      <c r="I51" s="4" t="b">
        <v>1</v>
      </c>
      <c r="J51" s="4" t="b">
        <v>1</v>
      </c>
      <c r="K51" s="4" t="b">
        <v>1</v>
      </c>
      <c r="L51" s="4" t="b">
        <v>0</v>
      </c>
      <c r="M51" s="4" t="b">
        <v>0</v>
      </c>
      <c r="N51" s="4" t="b">
        <v>1</v>
      </c>
      <c r="O51" s="5">
        <f>IFERROR(__xludf.DUMMYFUNCTION("IF(COUNTIF(D51:N51,""DISAGREE"")&gt;0,""DISCUSS"",IFERROR(TO_PERCENT(COUNTIF(D51:N51,TRUE)/(COUNTIF(D51:N51,TRUE)+COUNTIF(D51:N51,FALSE))),""N/A""))"),0.8181818181818182)</f>
        <v>0.8181818182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51.0</v>
      </c>
      <c r="B52" s="4" t="s">
        <v>116</v>
      </c>
      <c r="C52" s="4" t="s">
        <v>117</v>
      </c>
      <c r="D52" s="4" t="s">
        <v>17</v>
      </c>
      <c r="E52" s="4" t="s">
        <v>17</v>
      </c>
      <c r="F52" s="4" t="b">
        <v>1</v>
      </c>
      <c r="G52" s="4" t="b">
        <v>1</v>
      </c>
      <c r="H52" s="4" t="b">
        <v>1</v>
      </c>
      <c r="I52" s="4" t="s">
        <v>17</v>
      </c>
      <c r="J52" s="4" t="b">
        <v>1</v>
      </c>
      <c r="K52" s="4" t="b">
        <v>1</v>
      </c>
      <c r="L52" s="4" t="b">
        <v>1</v>
      </c>
      <c r="M52" s="4" t="b">
        <v>1</v>
      </c>
      <c r="N52" s="4" t="b">
        <v>1</v>
      </c>
      <c r="O52" s="5">
        <f>IFERROR(__xludf.DUMMYFUNCTION("IF(COUNTIF(D52:N52,""DISAGREE"")&gt;0,""DISCUSS"",IFERROR(TO_PERCENT(COUNTIF(D52:N52,TRUE)/(COUNTIF(D52:N52,TRUE)+COUNTIF(D52:N52,FALSE))),""N/A""))"),1.0)</f>
        <v>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52.0</v>
      </c>
      <c r="B53" s="4" t="s">
        <v>118</v>
      </c>
      <c r="C53" s="4" t="s">
        <v>119</v>
      </c>
      <c r="D53" s="4" t="s">
        <v>17</v>
      </c>
      <c r="E53" s="4" t="s">
        <v>17</v>
      </c>
      <c r="F53" s="4" t="b">
        <v>1</v>
      </c>
      <c r="G53" s="4" t="b">
        <v>1</v>
      </c>
      <c r="H53" s="4" t="b">
        <v>1</v>
      </c>
      <c r="I53" s="4" t="s">
        <v>17</v>
      </c>
      <c r="J53" s="4" t="b">
        <v>1</v>
      </c>
      <c r="K53" s="4" t="b">
        <v>1</v>
      </c>
      <c r="L53" s="4" t="b">
        <v>1</v>
      </c>
      <c r="M53" s="4" t="b">
        <v>1</v>
      </c>
      <c r="N53" s="4" t="b">
        <v>1</v>
      </c>
      <c r="O53" s="5">
        <f>IFERROR(__xludf.DUMMYFUNCTION("IF(COUNTIF(D53:N53,""DISAGREE"")&gt;0,""DISCUSS"",IFERROR(TO_PERCENT(COUNTIF(D53:N53,TRUE)/(COUNTIF(D53:N53,TRUE)+COUNTIF(D53:N53,FALSE))),""N/A""))"),1.0)</f>
        <v>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53.0</v>
      </c>
      <c r="B54" s="4" t="s">
        <v>120</v>
      </c>
      <c r="C54" s="4" t="s">
        <v>121</v>
      </c>
      <c r="D54" s="4" t="s">
        <v>17</v>
      </c>
      <c r="E54" s="4" t="s">
        <v>17</v>
      </c>
      <c r="F54" s="4" t="b">
        <v>1</v>
      </c>
      <c r="G54" s="4" t="b">
        <v>1</v>
      </c>
      <c r="H54" s="4" t="b">
        <v>0</v>
      </c>
      <c r="I54" s="4" t="s">
        <v>17</v>
      </c>
      <c r="J54" s="4" t="b">
        <v>1</v>
      </c>
      <c r="K54" s="4" t="b">
        <v>1</v>
      </c>
      <c r="L54" s="4" t="b">
        <v>1</v>
      </c>
      <c r="M54" s="4" t="b">
        <v>0</v>
      </c>
      <c r="N54" s="4" t="b">
        <v>1</v>
      </c>
      <c r="O54" s="5">
        <f>IFERROR(__xludf.DUMMYFUNCTION("IF(COUNTIF(D54:N54,""DISAGREE"")&gt;0,""DISCUSS"",IFERROR(TO_PERCENT(COUNTIF(D54:N54,TRUE)/(COUNTIF(D54:N54,TRUE)+COUNTIF(D54:N54,FALSE))),""N/A""))"),0.75)</f>
        <v>0.75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54.0</v>
      </c>
      <c r="B55" s="4" t="s">
        <v>122</v>
      </c>
      <c r="C55" s="4" t="s">
        <v>123</v>
      </c>
      <c r="D55" s="4" t="s">
        <v>17</v>
      </c>
      <c r="E55" s="4" t="s">
        <v>17</v>
      </c>
      <c r="F55" s="4" t="b">
        <v>1</v>
      </c>
      <c r="G55" s="4" t="b">
        <v>1</v>
      </c>
      <c r="H55" s="4" t="b">
        <v>1</v>
      </c>
      <c r="I55" s="4" t="s">
        <v>17</v>
      </c>
      <c r="J55" s="4" t="b">
        <v>1</v>
      </c>
      <c r="K55" s="4" t="b">
        <v>1</v>
      </c>
      <c r="L55" s="4" t="b">
        <v>1</v>
      </c>
      <c r="M55" s="4" t="b">
        <v>1</v>
      </c>
      <c r="N55" s="4" t="b">
        <v>1</v>
      </c>
      <c r="O55" s="5">
        <f>IFERROR(__xludf.DUMMYFUNCTION("IF(COUNTIF(D55:N55,""DISAGREE"")&gt;0,""DISCUSS"",IFERROR(TO_PERCENT(COUNTIF(D55:N55,TRUE)/(COUNTIF(D55:N55,TRUE)+COUNTIF(D55:N55,FALSE))),""N/A""))"),1.0)</f>
        <v>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55.0</v>
      </c>
      <c r="B56" s="4" t="s">
        <v>124</v>
      </c>
      <c r="C56" s="4" t="s">
        <v>125</v>
      </c>
      <c r="D56" s="4" t="s">
        <v>17</v>
      </c>
      <c r="E56" s="4" t="s">
        <v>17</v>
      </c>
      <c r="F56" s="4" t="b">
        <v>1</v>
      </c>
      <c r="G56" s="4" t="b">
        <v>0</v>
      </c>
      <c r="H56" s="4" t="b">
        <v>0</v>
      </c>
      <c r="I56" s="4" t="s">
        <v>17</v>
      </c>
      <c r="J56" s="4" t="b">
        <v>1</v>
      </c>
      <c r="K56" s="4" t="b">
        <v>1</v>
      </c>
      <c r="L56" s="4" t="b">
        <v>0</v>
      </c>
      <c r="M56" s="4" t="b">
        <v>0</v>
      </c>
      <c r="N56" s="4" t="b">
        <v>1</v>
      </c>
      <c r="O56" s="5">
        <f>IFERROR(__xludf.DUMMYFUNCTION("IF(COUNTIF(D56:N56,""DISAGREE"")&gt;0,""DISCUSS"",IFERROR(TO_PERCENT(COUNTIF(D56:N56,TRUE)/(COUNTIF(D56:N56,TRUE)+COUNTIF(D56:N56,FALSE))),""N/A""))"),0.5)</f>
        <v>0.5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56.0</v>
      </c>
      <c r="B57" s="4" t="s">
        <v>126</v>
      </c>
      <c r="C57" s="4" t="s">
        <v>127</v>
      </c>
      <c r="D57" s="4" t="s">
        <v>17</v>
      </c>
      <c r="E57" s="4" t="s">
        <v>17</v>
      </c>
      <c r="F57" s="4" t="b">
        <v>1</v>
      </c>
      <c r="G57" s="4" t="b">
        <v>0</v>
      </c>
      <c r="H57" s="4" t="b">
        <v>0</v>
      </c>
      <c r="I57" s="4" t="s">
        <v>17</v>
      </c>
      <c r="J57" s="4" t="b">
        <v>1</v>
      </c>
      <c r="K57" s="4" t="b">
        <v>1</v>
      </c>
      <c r="L57" s="4" t="b">
        <v>1</v>
      </c>
      <c r="M57" s="4" t="b">
        <v>1</v>
      </c>
      <c r="N57" s="4" t="b">
        <v>1</v>
      </c>
      <c r="O57" s="5">
        <f>IFERROR(__xludf.DUMMYFUNCTION("IF(COUNTIF(D57:N57,""DISAGREE"")&gt;0,""DISCUSS"",IFERROR(TO_PERCENT(COUNTIF(D57:N57,TRUE)/(COUNTIF(D57:N57,TRUE)+COUNTIF(D57:N57,FALSE))),""N/A""))"),0.75)</f>
        <v>0.75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57.0</v>
      </c>
      <c r="B58" s="4" t="s">
        <v>128</v>
      </c>
      <c r="C58" s="4" t="s">
        <v>129</v>
      </c>
      <c r="D58" s="4" t="s">
        <v>17</v>
      </c>
      <c r="E58" s="4" t="s">
        <v>17</v>
      </c>
      <c r="F58" s="4" t="b">
        <v>1</v>
      </c>
      <c r="G58" s="4" t="b">
        <v>1</v>
      </c>
      <c r="H58" s="4" t="b">
        <v>0</v>
      </c>
      <c r="I58" s="4" t="s">
        <v>17</v>
      </c>
      <c r="J58" s="4" t="b">
        <v>1</v>
      </c>
      <c r="K58" s="4" t="b">
        <v>1</v>
      </c>
      <c r="L58" s="4" t="b">
        <v>0</v>
      </c>
      <c r="M58" s="4" t="b">
        <v>0</v>
      </c>
      <c r="N58" s="4" t="b">
        <v>1</v>
      </c>
      <c r="O58" s="5">
        <f>IFERROR(__xludf.DUMMYFUNCTION("IF(COUNTIF(D58:N58,""DISAGREE"")&gt;0,""DISCUSS"",IFERROR(TO_PERCENT(COUNTIF(D58:N58,TRUE)/(COUNTIF(D58:N58,TRUE)+COUNTIF(D58:N58,FALSE))),""N/A""))"),0.625)</f>
        <v>0.625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58.0</v>
      </c>
      <c r="B59" s="4" t="s">
        <v>130</v>
      </c>
      <c r="C59" s="4" t="s">
        <v>131</v>
      </c>
      <c r="D59" s="4" t="b">
        <v>1</v>
      </c>
      <c r="E59" s="4" t="b">
        <v>1</v>
      </c>
      <c r="F59" s="4" t="b">
        <v>1</v>
      </c>
      <c r="G59" s="4" t="b">
        <v>1</v>
      </c>
      <c r="H59" s="4" t="b">
        <v>1</v>
      </c>
      <c r="I59" s="4" t="s">
        <v>17</v>
      </c>
      <c r="J59" s="4" t="b">
        <v>1</v>
      </c>
      <c r="K59" s="4" t="b">
        <v>1</v>
      </c>
      <c r="L59" s="4" t="b">
        <v>0</v>
      </c>
      <c r="M59" s="4" t="b">
        <v>0</v>
      </c>
      <c r="N59" s="4" t="b">
        <v>1</v>
      </c>
      <c r="O59" s="5">
        <f>IFERROR(__xludf.DUMMYFUNCTION("IF(COUNTIF(D59:N59,""DISAGREE"")&gt;0,""DISCUSS"",IFERROR(TO_PERCENT(COUNTIF(D59:N59,TRUE)/(COUNTIF(D59:N59,TRUE)+COUNTIF(D59:N59,FALSE))),""N/A""))"),0.8)</f>
        <v>0.8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59.0</v>
      </c>
      <c r="B60" s="4" t="s">
        <v>132</v>
      </c>
      <c r="C60" s="4" t="s">
        <v>133</v>
      </c>
      <c r="D60" s="4" t="s">
        <v>17</v>
      </c>
      <c r="E60" s="4" t="s">
        <v>17</v>
      </c>
      <c r="F60" s="4" t="b">
        <v>1</v>
      </c>
      <c r="G60" s="4" t="b">
        <v>1</v>
      </c>
      <c r="H60" s="4" t="b">
        <v>0</v>
      </c>
      <c r="I60" s="4" t="s">
        <v>17</v>
      </c>
      <c r="J60" s="4" t="b">
        <v>1</v>
      </c>
      <c r="K60" s="4" t="b">
        <v>1</v>
      </c>
      <c r="L60" s="4" t="b">
        <v>1</v>
      </c>
      <c r="M60" s="4" t="b">
        <v>1</v>
      </c>
      <c r="N60" s="4" t="b">
        <v>1</v>
      </c>
      <c r="O60" s="5">
        <f>IFERROR(__xludf.DUMMYFUNCTION("IF(COUNTIF(D60:N60,""DISAGREE"")&gt;0,""DISCUSS"",IFERROR(TO_PERCENT(COUNTIF(D60:N60,TRUE)/(COUNTIF(D60:N60,TRUE)+COUNTIF(D60:N60,FALSE))),""N/A""))"),0.875)</f>
        <v>0.875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60.0</v>
      </c>
      <c r="B61" s="4" t="s">
        <v>134</v>
      </c>
      <c r="C61" s="4" t="s">
        <v>135</v>
      </c>
      <c r="D61" s="4" t="s">
        <v>17</v>
      </c>
      <c r="E61" s="4" t="s">
        <v>17</v>
      </c>
      <c r="F61" s="4" t="b">
        <v>1</v>
      </c>
      <c r="G61" s="4" t="b">
        <v>1</v>
      </c>
      <c r="H61" s="4" t="b">
        <v>1</v>
      </c>
      <c r="I61" s="4" t="s">
        <v>17</v>
      </c>
      <c r="J61" s="4" t="b">
        <v>1</v>
      </c>
      <c r="K61" s="4" t="b">
        <v>1</v>
      </c>
      <c r="L61" s="4" t="b">
        <v>0</v>
      </c>
      <c r="M61" s="4" t="b">
        <v>1</v>
      </c>
      <c r="N61" s="4" t="b">
        <v>1</v>
      </c>
      <c r="O61" s="5">
        <f>IFERROR(__xludf.DUMMYFUNCTION("IF(COUNTIF(D61:N61,""DISAGREE"")&gt;0,""DISCUSS"",IFERROR(TO_PERCENT(COUNTIF(D61:N61,TRUE)/(COUNTIF(D61:N61,TRUE)+COUNTIF(D61:N61,FALSE))),""N/A""))"),0.875)</f>
        <v>0.875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61.0</v>
      </c>
      <c r="B62" s="4" t="s">
        <v>136</v>
      </c>
      <c r="C62" s="4" t="s">
        <v>137</v>
      </c>
      <c r="D62" s="4" t="b">
        <v>1</v>
      </c>
      <c r="E62" s="4" t="b">
        <v>1</v>
      </c>
      <c r="F62" s="4" t="b">
        <v>1</v>
      </c>
      <c r="G62" s="4" t="b">
        <v>1</v>
      </c>
      <c r="H62" s="4" t="b">
        <v>1</v>
      </c>
      <c r="I62" s="4" t="s">
        <v>17</v>
      </c>
      <c r="J62" s="4" t="b">
        <v>1</v>
      </c>
      <c r="K62" s="4" t="b">
        <v>1</v>
      </c>
      <c r="L62" s="4" t="b">
        <v>1</v>
      </c>
      <c r="M62" s="4" t="b">
        <v>0</v>
      </c>
      <c r="N62" s="4" t="b">
        <v>1</v>
      </c>
      <c r="O62" s="5">
        <f>IFERROR(__xludf.DUMMYFUNCTION("IF(COUNTIF(D62:N62,""DISAGREE"")&gt;0,""DISCUSS"",IFERROR(TO_PERCENT(COUNTIF(D62:N62,TRUE)/(COUNTIF(D62:N62,TRUE)+COUNTIF(D62:N62,FALSE))),""N/A""))"),0.9)</f>
        <v>0.9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62.0</v>
      </c>
      <c r="B63" s="4" t="s">
        <v>138</v>
      </c>
      <c r="C63" s="4" t="s">
        <v>139</v>
      </c>
      <c r="D63" s="4" t="b">
        <v>1</v>
      </c>
      <c r="E63" s="4" t="b">
        <v>1</v>
      </c>
      <c r="F63" s="4" t="b">
        <v>1</v>
      </c>
      <c r="G63" s="4" t="b">
        <v>1</v>
      </c>
      <c r="H63" s="4" t="b">
        <v>1</v>
      </c>
      <c r="I63" s="4" t="s">
        <v>17</v>
      </c>
      <c r="J63" s="4" t="b">
        <v>1</v>
      </c>
      <c r="K63" s="4" t="b">
        <v>1</v>
      </c>
      <c r="L63" s="4" t="b">
        <v>0</v>
      </c>
      <c r="M63" s="4" t="b">
        <v>1</v>
      </c>
      <c r="N63" s="4" t="b">
        <v>1</v>
      </c>
      <c r="O63" s="5">
        <f>IFERROR(__xludf.DUMMYFUNCTION("IF(COUNTIF(D63:N63,""DISAGREE"")&gt;0,""DISCUSS"",IFERROR(TO_PERCENT(COUNTIF(D63:N63,TRUE)/(COUNTIF(D63:N63,TRUE)+COUNTIF(D63:N63,FALSE))),""N/A""))"),0.9)</f>
        <v>0.9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63.0</v>
      </c>
      <c r="B64" s="4" t="s">
        <v>140</v>
      </c>
      <c r="C64" s="4" t="s">
        <v>141</v>
      </c>
      <c r="D64" s="4" t="s">
        <v>17</v>
      </c>
      <c r="E64" s="4" t="s">
        <v>17</v>
      </c>
      <c r="F64" s="4" t="b">
        <v>1</v>
      </c>
      <c r="G64" s="4" t="b">
        <v>1</v>
      </c>
      <c r="H64" s="4" t="b">
        <v>1</v>
      </c>
      <c r="I64" s="4" t="s">
        <v>17</v>
      </c>
      <c r="J64" s="4" t="b">
        <v>1</v>
      </c>
      <c r="K64" s="4" t="b">
        <v>1</v>
      </c>
      <c r="L64" s="4" t="b">
        <v>1</v>
      </c>
      <c r="M64" s="4" t="b">
        <v>1</v>
      </c>
      <c r="N64" s="4" t="b">
        <v>1</v>
      </c>
      <c r="O64" s="5">
        <f>IFERROR(__xludf.DUMMYFUNCTION("IF(COUNTIF(D64:N64,""DISAGREE"")&gt;0,""DISCUSS"",IFERROR(TO_PERCENT(COUNTIF(D64:N64,TRUE)/(COUNTIF(D64:N64,TRUE)+COUNTIF(D64:N64,FALSE))),""N/A""))"),1.0)</f>
        <v>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64.0</v>
      </c>
      <c r="B65" s="4" t="s">
        <v>142</v>
      </c>
      <c r="C65" s="4" t="s">
        <v>143</v>
      </c>
      <c r="D65" s="4" t="b">
        <v>1</v>
      </c>
      <c r="E65" s="4" t="b">
        <v>1</v>
      </c>
      <c r="F65" s="4" t="b">
        <v>1</v>
      </c>
      <c r="G65" s="4" t="b">
        <v>1</v>
      </c>
      <c r="H65" s="4" t="b">
        <v>1</v>
      </c>
      <c r="I65" s="4" t="s">
        <v>17</v>
      </c>
      <c r="J65" s="4" t="b">
        <v>1</v>
      </c>
      <c r="K65" s="4" t="b">
        <v>1</v>
      </c>
      <c r="L65" s="4" t="b">
        <v>0</v>
      </c>
      <c r="M65" s="4" t="b">
        <v>0</v>
      </c>
      <c r="N65" s="4" t="b">
        <v>1</v>
      </c>
      <c r="O65" s="5">
        <f>IFERROR(__xludf.DUMMYFUNCTION("IF(COUNTIF(D65:N65,""DISAGREE"")&gt;0,""DISCUSS"",IFERROR(TO_PERCENT(COUNTIF(D65:N65,TRUE)/(COUNTIF(D65:N65,TRUE)+COUNTIF(D65:N65,FALSE))),""N/A""))"),0.8)</f>
        <v>0.8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65.0</v>
      </c>
      <c r="B66" s="4" t="s">
        <v>144</v>
      </c>
      <c r="C66" s="4" t="s">
        <v>145</v>
      </c>
      <c r="D66" s="4" t="s">
        <v>17</v>
      </c>
      <c r="E66" s="4" t="s">
        <v>17</v>
      </c>
      <c r="F66" s="4" t="b">
        <v>1</v>
      </c>
      <c r="G66" s="4" t="b">
        <v>1</v>
      </c>
      <c r="H66" s="4" t="b">
        <v>1</v>
      </c>
      <c r="I66" s="4" t="s">
        <v>17</v>
      </c>
      <c r="J66" s="4" t="b">
        <v>1</v>
      </c>
      <c r="K66" s="4" t="b">
        <v>1</v>
      </c>
      <c r="L66" s="4" t="b">
        <v>1</v>
      </c>
      <c r="M66" s="4" t="b">
        <v>1</v>
      </c>
      <c r="N66" s="4" t="b">
        <v>1</v>
      </c>
      <c r="O66" s="5">
        <f>IFERROR(__xludf.DUMMYFUNCTION("IF(COUNTIF(D66:N66,""DISAGREE"")&gt;0,""DISCUSS"",IFERROR(TO_PERCENT(COUNTIF(D66:N66,TRUE)/(COUNTIF(D66:N66,TRUE)+COUNTIF(D66:N66,FALSE))),""N/A""))"),1.0)</f>
        <v>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66.0</v>
      </c>
      <c r="B67" s="4" t="s">
        <v>146</v>
      </c>
      <c r="C67" s="4" t="s">
        <v>147</v>
      </c>
      <c r="D67" s="4" t="s">
        <v>17</v>
      </c>
      <c r="E67" s="4" t="s">
        <v>17</v>
      </c>
      <c r="F67" s="4" t="b">
        <v>1</v>
      </c>
      <c r="G67" s="4" t="b">
        <v>1</v>
      </c>
      <c r="H67" s="4" t="b">
        <v>1</v>
      </c>
      <c r="I67" s="4" t="s">
        <v>17</v>
      </c>
      <c r="J67" s="4" t="b">
        <v>1</v>
      </c>
      <c r="K67" s="4" t="b">
        <v>1</v>
      </c>
      <c r="L67" s="4" t="b">
        <v>0</v>
      </c>
      <c r="M67" s="4" t="b">
        <v>0</v>
      </c>
      <c r="N67" s="4" t="b">
        <v>1</v>
      </c>
      <c r="O67" s="5">
        <f>IFERROR(__xludf.DUMMYFUNCTION("IF(COUNTIF(D67:N67,""DISAGREE"")&gt;0,""DISCUSS"",IFERROR(TO_PERCENT(COUNTIF(D67:N67,TRUE)/(COUNTIF(D67:N67,TRUE)+COUNTIF(D67:N67,FALSE))),""N/A""))"),0.75)</f>
        <v>0.75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67.0</v>
      </c>
      <c r="B68" s="4" t="s">
        <v>148</v>
      </c>
      <c r="C68" s="4" t="s">
        <v>149</v>
      </c>
      <c r="D68" s="4" t="s">
        <v>17</v>
      </c>
      <c r="E68" s="4" t="s">
        <v>17</v>
      </c>
      <c r="F68" s="4" t="b">
        <v>1</v>
      </c>
      <c r="G68" s="4" t="b">
        <v>1</v>
      </c>
      <c r="H68" s="4" t="b">
        <v>1</v>
      </c>
      <c r="I68" s="4" t="s">
        <v>17</v>
      </c>
      <c r="J68" s="4" t="b">
        <v>1</v>
      </c>
      <c r="K68" s="4" t="b">
        <v>1</v>
      </c>
      <c r="L68" s="4" t="b">
        <v>1</v>
      </c>
      <c r="M68" s="4" t="b">
        <v>1</v>
      </c>
      <c r="N68" s="4" t="b">
        <v>1</v>
      </c>
      <c r="O68" s="5">
        <f>IFERROR(__xludf.DUMMYFUNCTION("IF(COUNTIF(D68:N68,""DISAGREE"")&gt;0,""DISCUSS"",IFERROR(TO_PERCENT(COUNTIF(D68:N68,TRUE)/(COUNTIF(D68:N68,TRUE)+COUNTIF(D68:N68,FALSE))),""N/A""))"),1.0)</f>
        <v>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68.0</v>
      </c>
      <c r="B69" s="4" t="s">
        <v>150</v>
      </c>
      <c r="C69" s="4" t="s">
        <v>151</v>
      </c>
      <c r="D69" s="4" t="s">
        <v>17</v>
      </c>
      <c r="E69" s="4" t="s">
        <v>17</v>
      </c>
      <c r="F69" s="4" t="b">
        <v>1</v>
      </c>
      <c r="G69" s="4" t="b">
        <v>1</v>
      </c>
      <c r="H69" s="4" t="b">
        <v>1</v>
      </c>
      <c r="I69" s="4" t="s">
        <v>17</v>
      </c>
      <c r="J69" s="4" t="b">
        <v>1</v>
      </c>
      <c r="K69" s="4" t="b">
        <v>1</v>
      </c>
      <c r="L69" s="4" t="b">
        <v>1</v>
      </c>
      <c r="M69" s="4" t="b">
        <v>1</v>
      </c>
      <c r="N69" s="4" t="b">
        <v>1</v>
      </c>
      <c r="O69" s="5">
        <f>IFERROR(__xludf.DUMMYFUNCTION("IF(COUNTIF(D69:N69,""DISAGREE"")&gt;0,""DISCUSS"",IFERROR(TO_PERCENT(COUNTIF(D69:N69,TRUE)/(COUNTIF(D69:N69,TRUE)+COUNTIF(D69:N69,FALSE))),""N/A""))"),1.0)</f>
        <v>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